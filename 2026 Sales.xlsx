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 Project" sheetId="1" r:id="rId5"/>
  </sheets>
  <definedNames/>
  <calcPr/>
</workbook>
</file>

<file path=xl/sharedStrings.xml><?xml version="1.0" encoding="utf-8"?>
<sst xmlns="http://schemas.openxmlformats.org/spreadsheetml/2006/main" count="604" uniqueCount="264">
  <si>
    <t>PKD</t>
  </si>
  <si>
    <t>Customer</t>
  </si>
  <si>
    <t>Project</t>
  </si>
  <si>
    <t>Sales Type</t>
  </si>
  <si>
    <t>Services</t>
  </si>
  <si>
    <t>RFS Date</t>
  </si>
  <si>
    <t>Progress</t>
  </si>
  <si>
    <t>Quotation</t>
  </si>
  <si>
    <t>Business case</t>
  </si>
  <si>
    <t>GM [%]</t>
  </si>
  <si>
    <t>TCV (RM)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</si>
  <si>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</si>
  <si>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</si>
  <si>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</si>
  <si>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</si>
  <si>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</si>
  <si>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</si>
  <si>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</si>
  <si>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</si>
  <si>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</si>
  <si>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</si>
  <si>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</si>
  <si>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</si>
  <si>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Combridge</t>
  </si>
  <si>
    <t>Last year project</t>
  </si>
  <si>
    <t>New Sales</t>
  </si>
  <si>
    <t>DIA</t>
  </si>
  <si>
    <t>NA</t>
  </si>
  <si>
    <t>Completed</t>
  </si>
  <si>
    <t>PKDIXT00003739</t>
  </si>
  <si>
    <t>BMI - Sales and EaaS at Cyberjaya, Malaysia</t>
  </si>
  <si>
    <t>Eaas</t>
  </si>
  <si>
    <t>QUO00005508</t>
  </si>
  <si>
    <t>IXT/2025/BC/00004355-3</t>
  </si>
  <si>
    <t>PKDIXS00000125</t>
  </si>
  <si>
    <t>Combridge SRV0046211 - Opella | Sales and Eaas for 3Y at Singapore</t>
  </si>
  <si>
    <t>QUO00004142</t>
  </si>
  <si>
    <t>IXS/2025/BC/00003737</t>
  </si>
  <si>
    <t>PKDIXT00003759</t>
  </si>
  <si>
    <t>CTAP</t>
  </si>
  <si>
    <t>30M PLL in Indonesia 5Y</t>
  </si>
  <si>
    <t>EPL/PLL</t>
  </si>
  <si>
    <t>QUO00005507</t>
  </si>
  <si>
    <t>IXT/2025/BC/00004354-1</t>
  </si>
  <si>
    <t>PKDIXT00003926</t>
  </si>
  <si>
    <t>Orange</t>
  </si>
  <si>
    <t>Orange VMSI-92487 - Adecco IT Services | DIA 200M for 1Y at Menara Ecoworld, MY</t>
  </si>
  <si>
    <t xml:space="preserve">	QUO00005780</t>
  </si>
  <si>
    <t>IXT/2026/BC/00004591-1</t>
  </si>
  <si>
    <t>PKDIXT00003927</t>
  </si>
  <si>
    <t>Orange VMSI-75566 - UPS Oasis Supply Corporation | DIA 20M for 3Y at Bayan Lepas, MY</t>
  </si>
  <si>
    <t>In Progress</t>
  </si>
  <si>
    <t>QUO00005781</t>
  </si>
  <si>
    <t>IXT/2026/BC/00004590-2</t>
  </si>
  <si>
    <t>PKDIXS00000129</t>
  </si>
  <si>
    <t xml:space="preserve">Combridge SRV0046816 | Sales and Eaas for 5Y at Singapore </t>
  </si>
  <si>
    <t>Delivered</t>
  </si>
  <si>
    <t>QUO00004146</t>
  </si>
  <si>
    <t>IXS/2026/BC/00003741</t>
  </si>
  <si>
    <t>PKDIXT00004036</t>
  </si>
  <si>
    <t>Combridge SRV0047009 - DELFORT | Eaas and Sales for 5Y at Puchong, Malaysia</t>
  </si>
  <si>
    <t>QUO00005893</t>
  </si>
  <si>
    <t>IXT/2026/BC/00004703</t>
  </si>
  <si>
    <t>PKDIXT00004034</t>
  </si>
  <si>
    <t>Combridge - BMI Roofing Systems Sdn Bhd | Adhoc Installation at Dengkil [MYDEN1]</t>
  </si>
  <si>
    <t>Eng Serv.</t>
  </si>
  <si>
    <t>QUO00005897</t>
  </si>
  <si>
    <t>IXT/2026/BC/00004705</t>
  </si>
  <si>
    <t>---</t>
  </si>
  <si>
    <t>PKDIXT00004074</t>
  </si>
  <si>
    <t>Combridge - BMI Roofing Systems Sdn Bhd | Adhoc Installation at Tanjung Rambutan [MYBER1]</t>
  </si>
  <si>
    <t>QUO00005943</t>
  </si>
  <si>
    <t>IXT/2026/BC/00000007-1</t>
  </si>
  <si>
    <t>PKDIXT00004073</t>
  </si>
  <si>
    <t>Combridge - BMI Roofing Systems Sdn Bhd | Adhoc Installation at Simpang Renggam,Johor [MYMAC1]</t>
  </si>
  <si>
    <t>QUO00005944</t>
  </si>
  <si>
    <t>IXT/2026/BC/00000008-1</t>
  </si>
  <si>
    <t>PKDIXT00004072</t>
  </si>
  <si>
    <t>Combridge - BMI Roofing Systems Sdn Bhd | Adhoc Installation at Seremban, Malaysia [MYSER1]</t>
  </si>
  <si>
    <t>QUO00005945</t>
  </si>
  <si>
    <t>IXT/2026/BC/00000009</t>
  </si>
  <si>
    <t>PKDIXT00004082</t>
  </si>
  <si>
    <t>Combridge - BMI Roofing Systems Sdn Bhd | Adhoc Installation at Kota Bharu, Kelantan [MYKOT1]</t>
  </si>
  <si>
    <t>QUO00005952</t>
  </si>
  <si>
    <t>IXT/2026/BC/00000017</t>
  </si>
  <si>
    <t>PKDIXT00004091</t>
  </si>
  <si>
    <t>CTAP-Q-2026021000045 - Hewlett Packard Enterprise | Upgrade DIA 200M for 1Y at Taguig, Philippines via ETPI</t>
  </si>
  <si>
    <t>Upgrade</t>
  </si>
  <si>
    <t>QUO00005877</t>
  </si>
  <si>
    <t>IXT/2026/BC/00004687</t>
  </si>
  <si>
    <t>PKDIXT00004092</t>
  </si>
  <si>
    <t>CTAP-Q-2026021000046 - Hewlett Packard Enterprise | Diverse DIA 200M for 1Y at Taguig, Philippines via PLDT</t>
  </si>
  <si>
    <t>QUO00005878</t>
  </si>
  <si>
    <t>IXT/2026/BC/00004688-1</t>
  </si>
  <si>
    <t>PKDIXT00004107</t>
  </si>
  <si>
    <t>Orange (VMSI-101525) - Agilent Technologies Inc | DIA 400M for 1Y at Bayan Lepas, Penang</t>
  </si>
  <si>
    <t>QUO00005971</t>
  </si>
  <si>
    <t>IXT/2026/BC/00000036</t>
  </si>
  <si>
    <t>PKDIXT00004101</t>
  </si>
  <si>
    <t>Combridge - BMI Roofing Systems Sdn Bhd | Adhoc Installation at Skudai [MYSKU1]</t>
  </si>
  <si>
    <t>QUO00005967</t>
  </si>
  <si>
    <t>IXT/2026/BC/00000035</t>
  </si>
  <si>
    <t>PKDIXT00004102</t>
  </si>
  <si>
    <t>Combridge - BMI Roofing Systems Sdn Bhd | Adhoc Installation at Sungai Petani [MYSUN1]</t>
  </si>
  <si>
    <t>QUO00005968</t>
  </si>
  <si>
    <t>IXT/2026/BC/00000034</t>
  </si>
  <si>
    <t>PKDIXT00004103</t>
  </si>
  <si>
    <t>Combridge - BMI Roofing Systems Sdn Bhd | Adhoc Installation at Menara JKG [MYKUA1]</t>
  </si>
  <si>
    <t>QUO00005969</t>
  </si>
  <si>
    <t>IXT/2026/BC/00000033</t>
  </si>
  <si>
    <t>PKDIXT00004104</t>
  </si>
  <si>
    <t>Combridge - BMI Roofing Systems Sdn Bhd | Adhoc Installation at Yong Peng [MYYON1]</t>
  </si>
  <si>
    <t>QUO00005970</t>
  </si>
  <si>
    <t>IXT/2026/BC/00000032</t>
  </si>
  <si>
    <t>PKDIXT00004105</t>
  </si>
  <si>
    <t>Combridge - BMI Roofing Systems Sdn Bhd | Adhoc Installation at Ipoh [MYIPO1]</t>
  </si>
  <si>
    <t>QUO00005972</t>
  </si>
  <si>
    <t>IXT/2026/BC/00000037</t>
  </si>
  <si>
    <t>PKDIXS00000134</t>
  </si>
  <si>
    <t>CTAP-Q-2026021000081 - Bank OCBC BANDUNG - ASIA AFRIKA | EPL 200M for 1Y at Jakarta</t>
  </si>
  <si>
    <t>QUO00004151</t>
  </si>
  <si>
    <t>IXS/2026/BC/00003746</t>
  </si>
  <si>
    <t>PKDIXT00004156</t>
  </si>
  <si>
    <t>OPP00024859 - Combridge: [MYRAW1] BMI Roofing Systems Sdn Bhd | Migration Work at Rawang, Selangor</t>
  </si>
  <si>
    <t>QUO00006023</t>
  </si>
  <si>
    <t>IXT/2026/BC/00000087</t>
  </si>
  <si>
    <t>PKDIXT00004157</t>
  </si>
  <si>
    <t>OPP00024860 - Combridge: [MYSER1] BMI Roofing Systems Sdn Bhd | Migration Work at Seremban, Negeri Sembilan</t>
  </si>
  <si>
    <t>QUO00006024</t>
  </si>
  <si>
    <t>⁠IXT/2026/BC/00000088</t>
  </si>
  <si>
    <t>PKDIXT00004158</t>
  </si>
  <si>
    <t>OPP00024861 - Combridge: [MYBUK1] BMI Roofing Systems Sdn Bhd | Migration Work at Shah Alam, Malaysia</t>
  </si>
  <si>
    <t>QUO00006025</t>
  </si>
  <si>
    <t>⁠⁠IXT/2026/BC/00000089</t>
  </si>
  <si>
    <t>PKDIXT00004159</t>
  </si>
  <si>
    <t>OPP00024861 - Combridge: [MYKUA1] BMI Roofing Systems Sdn Bhd | Migration Work at Jalan Raja Laut, Kuala Lumpur</t>
  </si>
  <si>
    <t>QUO00006026</t>
  </si>
  <si>
    <t>⁠⁠IXT/2026/BC/00000090</t>
  </si>
  <si>
    <t>PKDIXT00004222</t>
  </si>
  <si>
    <t>Combridge SRV0047874 - Nexperia | DIA 300M on 1Y at NTT DC, Cyberjaya [Primary]</t>
  </si>
  <si>
    <t>QUO00006048</t>
  </si>
  <si>
    <t>IXT/2026/BC/00000115-2</t>
  </si>
  <si>
    <t>PKDIXT00004223</t>
  </si>
  <si>
    <t>Combridge SRV0047875 - Nexperia | DIA 300M on 1Y at NTT DC, Cyberjaya [Secondary]</t>
  </si>
  <si>
    <t>QUO00006049</t>
  </si>
  <si>
    <t>IXT/2026/BC/00000116-3</t>
  </si>
  <si>
    <t>PKDIXT00004285</t>
  </si>
  <si>
    <t>Combridge SRV0048015 - Nexperia [MY-SER01] | [Eaas] on 5Y at Seremban, MY</t>
  </si>
  <si>
    <t>QUO00006143</t>
  </si>
  <si>
    <t>IXT/2026/BC/00000213</t>
  </si>
  <si>
    <t>PKDIXT00004284</t>
  </si>
  <si>
    <t>Combridge SRV0047902 - Nexperia [AP-RDC01] | [Eaas] on 5Y at Cyberjaya, MY</t>
  </si>
  <si>
    <t>QUO00006144</t>
  </si>
  <si>
    <t>IXT/2026/BC/00000214</t>
  </si>
  <si>
    <t>PKDIXT00004286</t>
  </si>
  <si>
    <t>Combridge SRV0048097 - Nexperia [MY-SHA02] | [Eaas] on 5Y at Shah Alam, MY</t>
  </si>
  <si>
    <t>QUO00006145</t>
  </si>
  <si>
    <t>IXT/2026/BC/00000215</t>
  </si>
  <si>
    <t>PKDIXS00000136</t>
  </si>
  <si>
    <t>Combridge SRV0047820 - Nexperia [SGP-RC] | [Eaas] on 5Y at Tai Seng Drive, Singapore</t>
  </si>
  <si>
    <t>QUO00004153</t>
  </si>
  <si>
    <t>IXS/2026/BC/00003748</t>
  </si>
  <si>
    <t>PKDIXS00000135</t>
  </si>
  <si>
    <t>Combridge SRV0047819 - Nexperia [SGP-DLR | [Eaas] on 5Y at International Business Park, Singapore</t>
  </si>
  <si>
    <t>QUO00004154</t>
  </si>
  <si>
    <t>IXS/2026/BC/00003749</t>
  </si>
  <si>
    <t>PKDIXT00004410</t>
  </si>
  <si>
    <t>Combridge SRV0047850 - Nexperia PH | [DIA] 200M on 5Y at Philips Avenue, Philippines</t>
  </si>
  <si>
    <t>QUO00006220</t>
  </si>
  <si>
    <t>IXT/2026/BC/00000305-7</t>
  </si>
  <si>
    <t>PKDIXT00004420</t>
  </si>
  <si>
    <t>NTTGN</t>
  </si>
  <si>
    <t>NTTGN [CI-CMYJOH26-1 / W260000327] - ASM | DIA 100M for 3Y at Gelang Patah, Johor</t>
  </si>
  <si>
    <t>QUO00006270</t>
  </si>
  <si>
    <t>IXT/2026/BC/00000368</t>
  </si>
  <si>
    <t>PKDIXT00004444</t>
  </si>
  <si>
    <t xml:space="preserve">Orange - Lite-79031 | [XC-Relocation] at CSF and CJ1 for GI000783 / LDA15055 </t>
  </si>
  <si>
    <t>Relocation</t>
  </si>
  <si>
    <t>Other</t>
  </si>
  <si>
    <t>QUO00006280</t>
  </si>
  <si>
    <t>IXT/2026/BC/00000358</t>
  </si>
  <si>
    <t>PKDIXT00004487</t>
  </si>
  <si>
    <t>CTAP-Q-2026041000188 - OCBC | [Relocation] IX Managed EPL 10M on 2Y at Financial Park Labuan for GI000663</t>
  </si>
  <si>
    <t>Cancel</t>
  </si>
  <si>
    <t>QUO00006105</t>
  </si>
  <si>
    <t>IXT/2026/BC/00000183-1</t>
  </si>
  <si>
    <t>PKDIXT00004493</t>
  </si>
  <si>
    <t>Combridge SRV0048993 - George Fischer (M) Sdn. Bhd. | Eaas and Sales for 5Y at Klang, MY</t>
  </si>
  <si>
    <t>August</t>
  </si>
  <si>
    <t>QUO00006322</t>
  </si>
  <si>
    <t>IXT/2026/BC/00000406</t>
  </si>
  <si>
    <t>PKDIXS00000139</t>
  </si>
  <si>
    <t>Combridge SRV0048991 - BMW Singapore | Eaas and Sales for CAB-PWR-C13C14-2M and EC-S-P-PSU-AC</t>
  </si>
  <si>
    <t>QUO00004157</t>
  </si>
  <si>
    <t>IXS/2026/BC/00003752</t>
  </si>
  <si>
    <t>PKDIXT00004509</t>
  </si>
  <si>
    <t>Combridge SRV0048095 - Nexperia SA | DIA 100M (Primary) on 5Y at Bukit Kemuning, Selangor via TM+IX</t>
  </si>
  <si>
    <t>QUO00006343</t>
  </si>
  <si>
    <t>IXT/2026/BC/00000428</t>
  </si>
  <si>
    <t>RM 5,600.00</t>
  </si>
  <si>
    <t>RM 3,600.00</t>
  </si>
  <si>
    <t>PKDIXT00004510</t>
  </si>
  <si>
    <t>Combridge SRV0048096 - Nexperia SA | DIA 100M (Secondary) on 5Y at Bukit Kemuning, Selangor via TM Resell</t>
  </si>
  <si>
    <t>QUO00006344</t>
  </si>
  <si>
    <t xml:space="preserve">IXT/2026/BC/00000429 </t>
  </si>
  <si>
    <t>RM 7,140.00</t>
  </si>
  <si>
    <t>RM 5,140.00</t>
  </si>
  <si>
    <t>PKDIXT00004534</t>
  </si>
  <si>
    <t>CT MY</t>
  </si>
  <si>
    <t>CTMY-Q-2026061000011 - ICBC | IEPL 10M on 3Y from Menara Maxis -&gt; Raffles Quay</t>
  </si>
  <si>
    <t>IEPL</t>
  </si>
  <si>
    <t>QUO00006355</t>
  </si>
  <si>
    <t>IXT/2026/BC/00000457</t>
  </si>
  <si>
    <t>PKDIXT00004418</t>
  </si>
  <si>
    <t>Orange FI88726999 - Hapag Lloyd AG | DIA 500M for 1Y at The Capitol, KL</t>
  </si>
  <si>
    <t>QUO00006142</t>
  </si>
  <si>
    <t>IXT/2026/BC/00000211-3</t>
  </si>
  <si>
    <t>PKDIXT00004574</t>
  </si>
  <si>
    <t xml:space="preserve">Combridge SRV0049462-SEG0072746  - Hannover Rueck SE | Eaas for 4Y at Mercu 2, MY        </t>
  </si>
  <si>
    <t>Sept</t>
  </si>
  <si>
    <t>QUO00006413</t>
  </si>
  <si>
    <t>IXT/2026/BC/00000506</t>
  </si>
  <si>
    <t>PKDIXT00004609</t>
  </si>
  <si>
    <t>CTMY-Q-2026081000015 - Ningbo Deye Technology Co., Ltd | DIA 100M on 3Y at Tebrau, Johor</t>
  </si>
  <si>
    <t>QUO00006399</t>
  </si>
  <si>
    <t>IXT/2026/BC/00000494</t>
  </si>
  <si>
    <t>PKDIXT00004630</t>
  </si>
  <si>
    <t>Combridge SRV0049599 - H&amp;R Malaysia | Eaas for 4Y at Lumut Port</t>
  </si>
  <si>
    <t>QUO00006457</t>
  </si>
  <si>
    <t>IXT/2026/BC/00000550-1</t>
  </si>
  <si>
    <t>PKDIXT00004631</t>
  </si>
  <si>
    <t>Combridge SRV0049600 - H&amp;R Malaysia | Eaas for 4Y at Kawasan Industri Batu Caves, MY</t>
  </si>
  <si>
    <t>QUO00006458</t>
  </si>
  <si>
    <t>IXT/2026/BC/00000551</t>
  </si>
  <si>
    <t>PKDIXT00004617</t>
  </si>
  <si>
    <t>Combridge SRV0050112 - Draexlmeier Malaysia | Eaas for 4Y at Kedah EVE Industrial Park, MY</t>
  </si>
  <si>
    <t>QUO00006466</t>
  </si>
  <si>
    <t>IXT/2026/BC/00000559</t>
  </si>
  <si>
    <t>PKDIXT00004639</t>
  </si>
  <si>
    <t>Combridge SRV0049700 - Shell DR Malaysia | Eaas for 4Y at Shah Alam, MY</t>
  </si>
  <si>
    <t>QUO00006487</t>
  </si>
  <si>
    <t xml:space="preserve">IXT/2026/BC/00000578 </t>
  </si>
  <si>
    <t>PKDIXT00004640</t>
  </si>
  <si>
    <t>Combridge SRV0049702 - Shell DR Malaysia | Eaas for 4Y at Petaling Jaya, MY</t>
  </si>
  <si>
    <t>QUO00006488</t>
  </si>
  <si>
    <t>IXT/2026/BC/00000579</t>
  </si>
  <si>
    <t>PKDIXT00004641</t>
  </si>
  <si>
    <t>Orange - PLL CSF and CJ1  with XC at CSF for GI000783 via IX</t>
  </si>
  <si>
    <t>September</t>
  </si>
  <si>
    <t>QUO00006449</t>
  </si>
  <si>
    <t>IXT/2026/BC/00000542-1</t>
  </si>
  <si>
    <t>PKDIXT00004658</t>
  </si>
  <si>
    <t>Combridge SRV0050286 - Nexperia MY-SHA02 | IHW at Bukit Kemuning, Selangor [Primary]</t>
  </si>
  <si>
    <t>QUO00006511</t>
  </si>
  <si>
    <t>IXT/2026/BC/00000598</t>
  </si>
  <si>
    <t>Nexperia MY | Eaas for Juniper for 5Y at Seremban</t>
  </si>
  <si>
    <t>November</t>
  </si>
  <si>
    <t>Pending Customer</t>
  </si>
  <si>
    <t>QUO00006498</t>
  </si>
  <si>
    <t>BC</t>
  </si>
  <si>
    <t>Nexperia MY | Eaas for Fortigate for 5Y at Seremban</t>
  </si>
  <si>
    <t>QUO00006499</t>
  </si>
  <si>
    <t>Nexperia MY | Eaas for Avocent for 5Y at Seremban</t>
  </si>
  <si>
    <t>QUO00006502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</si>
</sst>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RM ]#,##0.00"/>
    <numFmt numFmtId="165" formatCode="_(&quot;$&quot;* #,##0.00_);_(&quot;$&quot;* \(#,##0.00\);_(&quot;$&quot;* &quot;-&quot;??_);_(@_)"/>
    <numFmt numFmtId="166" formatCode="mmm&quot; &quot;d&quot;, &quot;yyyy"/>
    <numFmt numFmtId="167" formatCode="mmm d, yyyy"/>
  </numFmts>
  <fonts count="9">
    <font>
      <sz val="10.0"/>
      <color rgb="FF000000"/>
      <name val="Arial"/>
      <scheme val="minor"/>
    </font>
    <font>
      <color rgb="FFFFFFFF"/>
      <name val="Barlow"/>
    </font>
    <font>
      <color theme="1"/>
      <name val="Arial"/>
    </font>
    <font>
      <color theme="1"/>
      <name val="Barlow"/>
    </font>
    <font>
      <b/>
      <color rgb="FFFF00FF"/>
      <name val="Barlow"/>
    </font>
    <font>
      <u/>
      <color rgb="FF1155CC"/>
      <name val="Barlow"/>
    </font>
    <font>
      <u/>
      <color rgb="FF1155CC"/>
      <name val="Barlow"/>
    </font>
    <font>
      <u/>
      <color rgb="FF1155CC"/>
      <name val="Barlow"/>
    </font>
    <font>
      <u/>
      <color rgb="FF1155CC"/>
      <name val="Barlow"/>
    </font>
  </fonts>
  <fills count="6">
    <fill>
      <patternFill patternType="none"/>
    </fill>
    <fill>
      <patternFill patternType="lightGray"/>
    </fill>
    <fill>
      <patternFill patternType="solid">
        <fgColor rgb="FF9900FF"/>
        <bgColor rgb="FF9900FF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  <fill>
      <patternFill patternType="solid">
        <fgColor rgb="FFE8E7FC"/>
        <bgColor rgb="FFE8E7FC"/>
      </patternFill>
    </fill>
  </fills>
  <borders count="2">
    <border/>
    <border>
      <left style="medium">
        <color rgb="FF000000"/>
      </left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0" fillId="0" fontId="2" numFmtId="0" xfId="0" applyAlignment="1" applyFont="1">
      <alignment vertical="bottom"/>
    </xf>
    <xf borderId="0" fillId="3" fontId="2" numFmtId="0" xfId="0" applyAlignment="1" applyFill="1" applyFont="1">
      <alignment vertical="bottom"/>
    </xf>
    <xf borderId="0" fillId="0" fontId="3" numFmtId="0" xfId="0" applyAlignment="1" applyFont="1">
      <alignment horizontal="center" vertical="bottom"/>
    </xf>
    <xf borderId="0" fillId="3" fontId="3" numFmtId="0" xfId="0" applyAlignment="1" applyFill="1" applyFont="1">
      <alignment vertical="bottom"/>
    </xf>
    <xf borderId="0" fillId="3" fontId="3" numFmtId="0" xfId="0" applyAlignment="1" applyFill="1" applyFont="1">
      <alignment horizontal="center" vertical="bottom"/>
    </xf>
    <xf borderId="0" fillId="3" fontId="2" numFmtId="10" xfId="0" applyAlignment="1" applyFill="1" applyFont="1" applyNumberFormat="1">
      <alignment vertical="bottom"/>
    </xf>
    <xf borderId="0" fillId="3" fontId="3" numFmtId="4" xfId="0" applyAlignment="1" applyFill="1" applyFont="1" applyNumberFormat="1">
      <alignment horizontal="right" vertical="bottom"/>
    </xf>
    <xf borderId="1" fillId="4" fontId="4" numFmtId="164" xfId="0" applyAlignment="1" applyBorder="1" applyFill="1" applyFont="1" applyNumberFormat="1">
      <alignment horizontal="right" vertical="bottom"/>
    </xf>
    <xf borderId="0" fillId="4" fontId="4" numFmtId="164" xfId="0" applyAlignment="1" applyFill="1" applyFont="1" applyNumberFormat="1">
      <alignment horizontal="right" vertical="bottom"/>
    </xf>
    <xf borderId="0" fillId="4" fontId="4" numFmtId="164" xfId="0" applyAlignment="1" applyFill="1" applyFont="1" applyNumberFormat="1">
      <alignment horizontal="center" vertical="bottom"/>
    </xf>
    <xf borderId="0" fillId="0" fontId="2" numFmtId="165" xfId="0" applyAlignment="1" applyFont="1" applyNumberFormat="1">
      <alignment vertical="bottom"/>
    </xf>
    <xf borderId="0" fillId="5" fontId="3" numFmtId="0" xfId="0" applyAlignment="1" applyFill="1" applyFont="1">
      <alignment horizontal="center" vertical="bottom"/>
    </xf>
    <xf borderId="0" fillId="5" fontId="3" numFmtId="0" xfId="0" applyAlignment="1" applyFill="1" applyFont="1">
      <alignment vertical="bottom"/>
    </xf>
    <xf borderId="0" fillId="5" fontId="3" numFmtId="166" xfId="0" applyAlignment="1" applyFill="1" applyFont="1" applyNumberFormat="1">
      <alignment horizontal="center" vertical="bottom"/>
    </xf>
    <xf borderId="0" fillId="5" fontId="3" numFmtId="10" xfId="0" applyAlignment="1" applyFill="1" applyFont="1" applyNumberFormat="1">
      <alignment horizontal="center" vertical="bottom"/>
    </xf>
    <xf borderId="0" fillId="5" fontId="3" numFmtId="4" xfId="0" applyAlignment="1" applyFill="1" applyFont="1" applyNumberFormat="1">
      <alignment horizontal="right" vertical="bottom"/>
    </xf>
    <xf borderId="1" fillId="4" fontId="2" numFmtId="164" xfId="0" applyAlignment="1" applyBorder="1" applyFill="1" applyFont="1" applyNumberFormat="1">
      <alignment vertical="bottom"/>
    </xf>
    <xf borderId="0" fillId="3" fontId="3" numFmtId="166" xfId="0" applyAlignment="1" applyFill="1" applyFont="1" applyNumberFormat="1">
      <alignment horizontal="center" vertical="bottom"/>
    </xf>
    <xf borderId="0" fillId="3" fontId="3" numFmtId="10" xfId="0" applyAlignment="1" applyFill="1" applyFont="1" applyNumberFormat="1">
      <alignment horizontal="center" vertical="bottom"/>
    </xf>
    <xf borderId="0" fillId="4" fontId="2" numFmtId="164" xfId="0" applyAlignment="1" applyFill="1" applyFont="1" applyNumberFormat="1">
      <alignment vertical="bottom"/>
    </xf>
    <xf borderId="0" fillId="5" fontId="3" numFmtId="4" xfId="0" applyAlignment="1" applyFill="1" applyFont="1" applyNumberFormat="1">
      <alignment horizontal="center" vertical="bottom"/>
    </xf>
    <xf borderId="1" fillId="5" fontId="2" numFmtId="164" xfId="0" applyAlignment="1" applyBorder="1" applyFill="1" applyFont="1" applyNumberFormat="1">
      <alignment vertical="bottom"/>
    </xf>
    <xf borderId="0" fillId="5" fontId="2" numFmtId="164" xfId="0" applyAlignment="1" applyFill="1" applyFont="1" applyNumberFormat="1">
      <alignment vertical="bottom"/>
    </xf>
    <xf borderId="0" fillId="5" fontId="3" numFmtId="164" xfId="0" applyAlignment="1" applyFill="1" applyFont="1" applyNumberFormat="1">
      <alignment horizontal="center" vertical="bottom"/>
    </xf>
    <xf borderId="1" fillId="3" fontId="2" numFmtId="164" xfId="0" applyAlignment="1" applyBorder="1" applyFill="1" applyFont="1" applyNumberFormat="1">
      <alignment vertical="bottom"/>
    </xf>
    <xf borderId="0" fillId="3" fontId="2" numFmtId="164" xfId="0" applyAlignment="1" applyFill="1" applyFont="1" applyNumberFormat="1">
      <alignment vertical="bottom"/>
    </xf>
    <xf borderId="0" fillId="3" fontId="3" numFmtId="164" xfId="0" applyAlignment="1" applyFill="1" applyFont="1" applyNumberFormat="1">
      <alignment horizontal="center" vertical="bottom"/>
    </xf>
    <xf borderId="0" fillId="3" fontId="2" numFmtId="4" xfId="0" applyAlignment="1" applyFill="1" applyFont="1" applyNumberFormat="1">
      <alignment vertical="bottom"/>
    </xf>
    <xf borderId="0" fillId="3" fontId="3" numFmtId="167" xfId="0" applyAlignment="1" applyFill="1" applyFont="1" applyNumberFormat="1">
      <alignment horizontal="center" vertical="bottom"/>
    </xf>
    <xf borderId="0" fillId="5" fontId="3" numFmtId="167" xfId="0" applyAlignment="1" applyFill="1" applyFont="1" applyNumberFormat="1">
      <alignment horizontal="center" vertical="bottom"/>
    </xf>
    <xf borderId="0" fillId="3" fontId="5" numFmtId="0" xfId="0" applyAlignment="1" applyFill="1" applyFont="1">
      <alignment vertical="bottom"/>
    </xf>
    <xf borderId="0" fillId="3" fontId="6" numFmtId="0" xfId="0" applyAlignment="1" applyFill="1" applyFont="1">
      <alignment horizontal="center" vertical="bottom"/>
    </xf>
    <xf borderId="0" fillId="5" fontId="2" numFmtId="0" xfId="0" applyAlignment="1" applyFill="1" applyFont="1">
      <alignment vertical="bottom"/>
    </xf>
    <xf borderId="0" fillId="5" fontId="7" numFmtId="0" xfId="0" applyAlignment="1" applyFill="1" applyFont="1">
      <alignment vertical="bottom"/>
    </xf>
    <xf borderId="0" fillId="5" fontId="8" numFmtId="0" xfId="0" applyAlignment="1" applyFill="1" applyFont="1">
      <alignment horizontal="center" vertical="bottom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2" pivot="0" name="2026 Projec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:W56" displayName="Table_1" name="Table_1" id="1">
  <tableColumns count="23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</tableColumns>
  <tableStyleInfo name="2026 Projec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crm.ixtelecom.net/requirements/a2c64673-6603-4aea-ac5e-ffb9fb80c3b2/edit" TargetMode="External"/><Relationship Id="rId2" Type="http://schemas.openxmlformats.org/officeDocument/2006/relationships/hyperlink" Target="https://api.crm.ixtelecom.net/conventional-quotation/01a0b3eb-ce5b-7106-af1d-7d335538fc4a/download" TargetMode="External"/><Relationship Id="rId3" Type="http://schemas.openxmlformats.org/officeDocument/2006/relationships/hyperlink" Target="https://bc.ixtelecom.net/business-cases/01a0b3eb-ce73-729b-b7bd-43ebffca34a5/view" TargetMode="External"/><Relationship Id="rId4" Type="http://schemas.openxmlformats.org/officeDocument/2006/relationships/hyperlink" Target="https://crm.ixtelecom.net/requirements/a2c647be-f5e5-4fb3-8386-53900d2e1b0a/edit" TargetMode="External"/><Relationship Id="rId10" Type="http://schemas.openxmlformats.org/officeDocument/2006/relationships/table" Target="../tables/table1.xml"/><Relationship Id="rId5" Type="http://schemas.openxmlformats.org/officeDocument/2006/relationships/hyperlink" Target="https://bc.ixtelecom.net/business-cases/01a0c1b9-1284-7157-a62f-2b278984250e/view" TargetMode="External"/><Relationship Id="rId6" Type="http://schemas.openxmlformats.org/officeDocument/2006/relationships/hyperlink" Target="https://crm.ixtelecom.net/requirements/a2c647f8-a805-48cf-8da2-81ded1fd4112/edit" TargetMode="External"/><Relationship Id="rId7" Type="http://schemas.openxmlformats.org/officeDocument/2006/relationships/hyperlink" Target="https://bc.ixtelecom.net/business-cases/01a0c1d7-9aab-70d3-b227-5ca78907721f/view" TargetMode="External"/><Relationship Id="rId8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13.75"/>
    <col customWidth="1" min="3" max="3" width="85.63"/>
    <col customWidth="1" min="4" max="4" width="13.63"/>
    <col customWidth="1" min="5" max="5" width="12.75"/>
    <col customWidth="1" min="6" max="6" width="10.38"/>
    <col customWidth="1" min="7" max="7" width="19.13"/>
    <col customWidth="1" min="8" max="8" width="11.63"/>
    <col customWidth="1" min="9" max="9" width="19.88"/>
    <col customWidth="1" min="10" max="10" width="6.5"/>
    <col customWidth="1" min="11" max="11" width="9.13"/>
    <col customWidth="1" min="12" max="12" width="8.5"/>
    <col customWidth="1" min="13" max="13" width="10.63"/>
    <col customWidth="1" min="14" max="14" width="9.88"/>
    <col customWidth="1" min="15" max="17" width="10.13"/>
    <col customWidth="1" min="18" max="18" width="10.25"/>
    <col customWidth="1" min="19" max="20" width="10.88"/>
    <col customWidth="1" min="21" max="21" width="10.25"/>
    <col customWidth="1" min="22" max="22" width="11.63"/>
    <col customWidth="1" min="23" max="23" width="1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3"/>
    </row>
    <row r="2">
      <c r="A2" s="4"/>
      <c r="B2" s="5" t="s">
        <v>23</v>
      </c>
      <c r="C2" s="6" t="s">
        <v>24</v>
      </c>
      <c r="D2" s="5" t="s">
        <v>25</v>
      </c>
      <c r="E2" s="5" t="s">
        <v>26</v>
      </c>
      <c r="F2" s="7" t="s">
        <v>27</v>
      </c>
      <c r="G2" s="5" t="s">
        <v>28</v>
      </c>
      <c r="H2" s="7" t="s">
        <v>27</v>
      </c>
      <c r="I2" s="7" t="s">
        <v>27</v>
      </c>
      <c r="J2" s="8"/>
      <c r="K2" s="9">
        <f>sum(L2:W2)</f>
        <v>10260</v>
      </c>
      <c r="L2" s="10">
        <v>855.0</v>
      </c>
      <c r="M2" s="11">
        <v>855.0</v>
      </c>
      <c r="N2" s="11">
        <v>855.0</v>
      </c>
      <c r="O2" s="11">
        <v>855.0</v>
      </c>
      <c r="P2" s="12">
        <v>855.0</v>
      </c>
      <c r="Q2" s="12">
        <v>855.0</v>
      </c>
      <c r="R2" s="12">
        <v>855.0</v>
      </c>
      <c r="S2" s="12">
        <v>855.0</v>
      </c>
      <c r="T2" s="12">
        <v>855.0</v>
      </c>
      <c r="U2" s="12">
        <v>855.0</v>
      </c>
      <c r="V2" s="12">
        <v>855.0</v>
      </c>
      <c r="W2" s="12">
        <v>855.0</v>
      </c>
      <c r="X2" s="13"/>
    </row>
    <row r="3">
      <c r="A3" s="14" t="s">
        <v>29</v>
      </c>
      <c r="B3" s="5" t="s">
        <v>23</v>
      </c>
      <c r="C3" s="15" t="s">
        <v>30</v>
      </c>
      <c r="D3" s="5" t="s">
        <v>25</v>
      </c>
      <c r="E3" s="5" t="s">
        <v>31</v>
      </c>
      <c r="F3" s="16">
        <v>45959.0</v>
      </c>
      <c r="G3" s="5" t="s">
        <v>28</v>
      </c>
      <c r="H3" s="14" t="s">
        <v>32</v>
      </c>
      <c r="I3" s="14" t="s">
        <v>33</v>
      </c>
      <c r="J3" s="17">
        <v>0.49</v>
      </c>
      <c r="K3" s="18">
        <v>19668.0</v>
      </c>
      <c r="L3" s="19"/>
      <c r="M3" s="11">
        <v>3640.0</v>
      </c>
      <c r="N3" s="11">
        <v>440.0</v>
      </c>
      <c r="O3" s="11">
        <v>440.0</v>
      </c>
      <c r="P3" s="12">
        <v>440.0</v>
      </c>
      <c r="Q3" s="12">
        <v>440.0</v>
      </c>
      <c r="R3" s="12">
        <v>440.0</v>
      </c>
      <c r="S3" s="12">
        <v>440.0</v>
      </c>
      <c r="T3" s="12">
        <v>440.0</v>
      </c>
      <c r="U3" s="12">
        <v>440.0</v>
      </c>
      <c r="V3" s="12">
        <v>440.0</v>
      </c>
      <c r="W3" s="12">
        <v>440.0</v>
      </c>
      <c r="X3" s="13"/>
    </row>
    <row r="4">
      <c r="A4" s="7" t="s">
        <v>34</v>
      </c>
      <c r="B4" s="5" t="s">
        <v>23</v>
      </c>
      <c r="C4" s="6" t="s">
        <v>35</v>
      </c>
      <c r="D4" s="5" t="s">
        <v>25</v>
      </c>
      <c r="E4" s="5" t="s">
        <v>31</v>
      </c>
      <c r="F4" s="20">
        <v>46003.0</v>
      </c>
      <c r="G4" s="5" t="s">
        <v>28</v>
      </c>
      <c r="H4" s="7" t="s">
        <v>36</v>
      </c>
      <c r="I4" s="7" t="s">
        <v>37</v>
      </c>
      <c r="J4" s="21">
        <v>0.3186</v>
      </c>
      <c r="K4" s="9">
        <v>36564.6</v>
      </c>
      <c r="L4" s="19"/>
      <c r="M4" s="11">
        <v>14520.0</v>
      </c>
      <c r="N4" s="11">
        <v>520.0</v>
      </c>
      <c r="O4" s="11">
        <v>520.0</v>
      </c>
      <c r="P4" s="12">
        <v>520.0</v>
      </c>
      <c r="Q4" s="12">
        <v>520.0</v>
      </c>
      <c r="R4" s="12">
        <v>520.0</v>
      </c>
      <c r="S4" s="12">
        <v>520.0</v>
      </c>
      <c r="T4" s="12">
        <v>520.0</v>
      </c>
      <c r="U4" s="12">
        <v>520.0</v>
      </c>
      <c r="V4" s="12">
        <v>520.0</v>
      </c>
      <c r="W4" s="12">
        <v>520.0</v>
      </c>
      <c r="X4" s="13"/>
    </row>
    <row r="5">
      <c r="A5" s="14" t="s">
        <v>38</v>
      </c>
      <c r="B5" s="5" t="s">
        <v>39</v>
      </c>
      <c r="C5" s="15" t="s">
        <v>40</v>
      </c>
      <c r="D5" s="5" t="s">
        <v>25</v>
      </c>
      <c r="E5" s="5" t="s">
        <v>41</v>
      </c>
      <c r="F5" s="16">
        <v>46092.0</v>
      </c>
      <c r="G5" s="5" t="s">
        <v>28</v>
      </c>
      <c r="H5" s="14" t="s">
        <v>42</v>
      </c>
      <c r="I5" s="14" t="s">
        <v>43</v>
      </c>
      <c r="J5" s="17">
        <v>0.3708</v>
      </c>
      <c r="K5" s="18">
        <v>374586.0</v>
      </c>
      <c r="L5" s="19"/>
      <c r="M5" s="22"/>
      <c r="N5" s="22"/>
      <c r="O5" s="22"/>
      <c r="P5" s="12">
        <v>9520.0</v>
      </c>
      <c r="Q5" s="12">
        <v>5520.0</v>
      </c>
      <c r="R5" s="12">
        <v>5520.0</v>
      </c>
      <c r="S5" s="12">
        <v>5520.0</v>
      </c>
      <c r="T5" s="12">
        <v>5520.0</v>
      </c>
      <c r="U5" s="12">
        <v>5520.0</v>
      </c>
      <c r="V5" s="12">
        <v>5520.0</v>
      </c>
      <c r="W5" s="12">
        <v>5520.0</v>
      </c>
      <c r="X5" s="13"/>
    </row>
    <row r="6">
      <c r="A6" s="7" t="s">
        <v>44</v>
      </c>
      <c r="B6" s="5" t="s">
        <v>45</v>
      </c>
      <c r="C6" s="6" t="s">
        <v>46</v>
      </c>
      <c r="D6" s="5" t="s">
        <v>25</v>
      </c>
      <c r="E6" s="5" t="s">
        <v>26</v>
      </c>
      <c r="F6" s="20">
        <v>46074.0</v>
      </c>
      <c r="G6" s="5" t="s">
        <v>28</v>
      </c>
      <c r="H6" s="7" t="s">
        <v>47</v>
      </c>
      <c r="I6" s="7" t="s">
        <v>48</v>
      </c>
      <c r="J6" s="21">
        <v>0.25</v>
      </c>
      <c r="K6" s="9">
        <v>68088.0</v>
      </c>
      <c r="L6" s="19"/>
      <c r="M6" s="22"/>
      <c r="N6" s="11">
        <v>11174.0</v>
      </c>
      <c r="O6" s="11">
        <v>5174.0</v>
      </c>
      <c r="P6" s="12">
        <v>5174.0</v>
      </c>
      <c r="Q6" s="12">
        <v>5174.0</v>
      </c>
      <c r="R6" s="12">
        <v>5174.0</v>
      </c>
      <c r="S6" s="12">
        <v>5174.0</v>
      </c>
      <c r="T6" s="12">
        <v>5174.0</v>
      </c>
      <c r="U6" s="12">
        <v>5174.0</v>
      </c>
      <c r="V6" s="12">
        <v>5174.0</v>
      </c>
      <c r="W6" s="12">
        <v>5174.0</v>
      </c>
      <c r="X6" s="13"/>
    </row>
    <row r="7">
      <c r="A7" s="14" t="s">
        <v>49</v>
      </c>
      <c r="B7" s="5" t="s">
        <v>45</v>
      </c>
      <c r="C7" s="15" t="s">
        <v>50</v>
      </c>
      <c r="D7" s="5" t="s">
        <v>25</v>
      </c>
      <c r="E7" s="5" t="s">
        <v>26</v>
      </c>
      <c r="F7" s="16">
        <v>46074.0</v>
      </c>
      <c r="G7" s="5" t="s">
        <v>51</v>
      </c>
      <c r="H7" s="14" t="s">
        <v>52</v>
      </c>
      <c r="I7" s="23" t="s">
        <v>53</v>
      </c>
      <c r="J7" s="17">
        <v>0.2403</v>
      </c>
      <c r="K7" s="18">
        <v>102600.0</v>
      </c>
      <c r="L7" s="24"/>
      <c r="M7" s="25"/>
      <c r="N7" s="25"/>
      <c r="O7" s="25"/>
      <c r="P7" s="25"/>
      <c r="Q7" s="25"/>
      <c r="R7" s="25"/>
      <c r="S7" s="25"/>
      <c r="T7" s="25"/>
      <c r="U7" s="26">
        <v>2850.0</v>
      </c>
      <c r="V7" s="26">
        <v>2850.0</v>
      </c>
      <c r="W7" s="26">
        <v>2850.0</v>
      </c>
      <c r="X7" s="13"/>
    </row>
    <row r="8">
      <c r="A8" s="7" t="s">
        <v>54</v>
      </c>
      <c r="B8" s="5" t="s">
        <v>23</v>
      </c>
      <c r="C8" s="6" t="s">
        <v>55</v>
      </c>
      <c r="D8" s="5" t="s">
        <v>25</v>
      </c>
      <c r="E8" s="5" t="s">
        <v>31</v>
      </c>
      <c r="F8" s="20">
        <v>46101.0</v>
      </c>
      <c r="G8" s="5" t="s">
        <v>56</v>
      </c>
      <c r="H8" s="7" t="s">
        <v>57</v>
      </c>
      <c r="I8" s="7" t="s">
        <v>58</v>
      </c>
      <c r="J8" s="21">
        <v>0.31</v>
      </c>
      <c r="K8" s="9">
        <v>130620.0</v>
      </c>
      <c r="L8" s="19"/>
      <c r="M8" s="22"/>
      <c r="N8" s="22"/>
      <c r="O8" s="22"/>
      <c r="P8" s="22"/>
      <c r="Q8" s="22"/>
      <c r="R8" s="22"/>
      <c r="S8" s="12">
        <f>18500*4</f>
        <v>74000</v>
      </c>
      <c r="T8" s="12">
        <v>840.0</v>
      </c>
      <c r="U8" s="12">
        <v>840.0</v>
      </c>
      <c r="V8" s="12">
        <v>840.0</v>
      </c>
      <c r="W8" s="12">
        <v>840.0</v>
      </c>
      <c r="X8" s="13"/>
    </row>
    <row r="9">
      <c r="A9" s="14" t="s">
        <v>59</v>
      </c>
      <c r="B9" s="5" t="s">
        <v>23</v>
      </c>
      <c r="C9" s="15" t="s">
        <v>60</v>
      </c>
      <c r="D9" s="5" t="s">
        <v>25</v>
      </c>
      <c r="E9" s="5" t="s">
        <v>31</v>
      </c>
      <c r="F9" s="16">
        <v>46108.0</v>
      </c>
      <c r="G9" s="5" t="s">
        <v>56</v>
      </c>
      <c r="H9" s="14" t="s">
        <v>61</v>
      </c>
      <c r="I9" s="14" t="s">
        <v>62</v>
      </c>
      <c r="J9" s="17">
        <v>0.4906</v>
      </c>
      <c r="K9" s="18">
        <v>18000.0</v>
      </c>
      <c r="L9" s="19"/>
      <c r="M9" s="22"/>
      <c r="N9" s="22"/>
      <c r="O9" s="22"/>
      <c r="P9" s="22"/>
      <c r="Q9" s="12">
        <v>6200.0</v>
      </c>
      <c r="R9" s="12">
        <v>200.0</v>
      </c>
      <c r="S9" s="12">
        <v>200.0</v>
      </c>
      <c r="T9" s="12">
        <v>200.0</v>
      </c>
      <c r="U9" s="12">
        <v>200.0</v>
      </c>
      <c r="V9" s="12">
        <v>200.0</v>
      </c>
      <c r="W9" s="12">
        <v>200.0</v>
      </c>
      <c r="X9" s="13"/>
    </row>
    <row r="10">
      <c r="A10" s="7" t="s">
        <v>63</v>
      </c>
      <c r="B10" s="5" t="s">
        <v>23</v>
      </c>
      <c r="C10" s="6" t="s">
        <v>64</v>
      </c>
      <c r="D10" s="5" t="s">
        <v>25</v>
      </c>
      <c r="E10" s="5" t="s">
        <v>65</v>
      </c>
      <c r="F10" s="20">
        <v>46079.0</v>
      </c>
      <c r="G10" s="5" t="s">
        <v>28</v>
      </c>
      <c r="H10" s="7" t="s">
        <v>66</v>
      </c>
      <c r="I10" s="7" t="s">
        <v>67</v>
      </c>
      <c r="J10" s="21">
        <v>0.381</v>
      </c>
      <c r="K10" s="9">
        <v>2100.0</v>
      </c>
      <c r="L10" s="19"/>
      <c r="M10" s="22"/>
      <c r="N10" s="11">
        <v>2100.0</v>
      </c>
      <c r="O10" s="12" t="s">
        <v>68</v>
      </c>
      <c r="P10" s="12" t="s">
        <v>68</v>
      </c>
      <c r="Q10" s="12" t="s">
        <v>68</v>
      </c>
      <c r="R10" s="12" t="s">
        <v>68</v>
      </c>
      <c r="S10" s="12" t="s">
        <v>68</v>
      </c>
      <c r="T10" s="12" t="s">
        <v>68</v>
      </c>
      <c r="U10" s="12" t="s">
        <v>68</v>
      </c>
      <c r="V10" s="12" t="s">
        <v>68</v>
      </c>
      <c r="W10" s="12" t="s">
        <v>68</v>
      </c>
      <c r="X10" s="13"/>
    </row>
    <row r="11">
      <c r="A11" s="14" t="s">
        <v>69</v>
      </c>
      <c r="B11" s="5" t="s">
        <v>23</v>
      </c>
      <c r="C11" s="15" t="s">
        <v>70</v>
      </c>
      <c r="D11" s="5" t="s">
        <v>25</v>
      </c>
      <c r="E11" s="5" t="s">
        <v>65</v>
      </c>
      <c r="F11" s="16">
        <v>46100.0</v>
      </c>
      <c r="G11" s="5" t="s">
        <v>28</v>
      </c>
      <c r="H11" s="14" t="s">
        <v>71</v>
      </c>
      <c r="I11" s="14" t="s">
        <v>72</v>
      </c>
      <c r="J11" s="17">
        <v>0.3</v>
      </c>
      <c r="K11" s="18">
        <v>2100.0</v>
      </c>
      <c r="L11" s="19"/>
      <c r="M11" s="22"/>
      <c r="N11" s="11">
        <v>2100.0</v>
      </c>
      <c r="O11" s="12" t="s">
        <v>68</v>
      </c>
      <c r="P11" s="12" t="s">
        <v>68</v>
      </c>
      <c r="Q11" s="12" t="s">
        <v>68</v>
      </c>
      <c r="R11" s="12" t="s">
        <v>68</v>
      </c>
      <c r="S11" s="12" t="s">
        <v>68</v>
      </c>
      <c r="T11" s="12" t="s">
        <v>68</v>
      </c>
      <c r="U11" s="12" t="s">
        <v>68</v>
      </c>
      <c r="V11" s="12" t="s">
        <v>68</v>
      </c>
      <c r="W11" s="12" t="s">
        <v>68</v>
      </c>
      <c r="X11" s="13"/>
    </row>
    <row r="12">
      <c r="A12" s="7" t="s">
        <v>73</v>
      </c>
      <c r="B12" s="5" t="s">
        <v>23</v>
      </c>
      <c r="C12" s="6" t="s">
        <v>74</v>
      </c>
      <c r="D12" s="5" t="s">
        <v>25</v>
      </c>
      <c r="E12" s="5" t="s">
        <v>65</v>
      </c>
      <c r="F12" s="20">
        <v>46100.0</v>
      </c>
      <c r="G12" s="5" t="s">
        <v>28</v>
      </c>
      <c r="H12" s="7" t="s">
        <v>75</v>
      </c>
      <c r="I12" s="7" t="s">
        <v>76</v>
      </c>
      <c r="J12" s="21">
        <v>0.3</v>
      </c>
      <c r="K12" s="9">
        <v>2100.0</v>
      </c>
      <c r="L12" s="19"/>
      <c r="M12" s="22"/>
      <c r="N12" s="11">
        <v>2100.0</v>
      </c>
      <c r="O12" s="12" t="s">
        <v>68</v>
      </c>
      <c r="P12" s="12" t="s">
        <v>68</v>
      </c>
      <c r="Q12" s="12" t="s">
        <v>68</v>
      </c>
      <c r="R12" s="12" t="s">
        <v>68</v>
      </c>
      <c r="S12" s="12" t="s">
        <v>68</v>
      </c>
      <c r="T12" s="12" t="s">
        <v>68</v>
      </c>
      <c r="U12" s="12" t="s">
        <v>68</v>
      </c>
      <c r="V12" s="12" t="s">
        <v>68</v>
      </c>
      <c r="W12" s="12" t="s">
        <v>68</v>
      </c>
      <c r="X12" s="13"/>
    </row>
    <row r="13">
      <c r="A13" s="14" t="s">
        <v>77</v>
      </c>
      <c r="B13" s="5" t="s">
        <v>23</v>
      </c>
      <c r="C13" s="15" t="s">
        <v>78</v>
      </c>
      <c r="D13" s="5" t="s">
        <v>25</v>
      </c>
      <c r="E13" s="5" t="s">
        <v>65</v>
      </c>
      <c r="F13" s="16">
        <v>46100.0</v>
      </c>
      <c r="G13" s="5" t="s">
        <v>28</v>
      </c>
      <c r="H13" s="14" t="s">
        <v>79</v>
      </c>
      <c r="I13" s="14" t="s">
        <v>80</v>
      </c>
      <c r="J13" s="17">
        <v>0.3</v>
      </c>
      <c r="K13" s="18">
        <v>2100.0</v>
      </c>
      <c r="L13" s="19"/>
      <c r="M13" s="22"/>
      <c r="N13" s="11">
        <v>2100.0</v>
      </c>
      <c r="O13" s="12" t="s">
        <v>68</v>
      </c>
      <c r="P13" s="12" t="s">
        <v>68</v>
      </c>
      <c r="Q13" s="12" t="s">
        <v>68</v>
      </c>
      <c r="R13" s="12" t="s">
        <v>68</v>
      </c>
      <c r="S13" s="12" t="s">
        <v>68</v>
      </c>
      <c r="T13" s="12" t="s">
        <v>68</v>
      </c>
      <c r="U13" s="12" t="s">
        <v>68</v>
      </c>
      <c r="V13" s="12" t="s">
        <v>68</v>
      </c>
      <c r="W13" s="12" t="s">
        <v>68</v>
      </c>
      <c r="X13" s="13"/>
    </row>
    <row r="14">
      <c r="A14" s="7" t="s">
        <v>81</v>
      </c>
      <c r="B14" s="5" t="s">
        <v>23</v>
      </c>
      <c r="C14" s="6" t="s">
        <v>82</v>
      </c>
      <c r="D14" s="5" t="s">
        <v>25</v>
      </c>
      <c r="E14" s="5" t="s">
        <v>65</v>
      </c>
      <c r="F14" s="20">
        <v>46094.0</v>
      </c>
      <c r="G14" s="5" t="s">
        <v>28</v>
      </c>
      <c r="H14" s="7" t="s">
        <v>83</v>
      </c>
      <c r="I14" s="7" t="s">
        <v>84</v>
      </c>
      <c r="J14" s="21">
        <v>0.3</v>
      </c>
      <c r="K14" s="9">
        <v>2100.0</v>
      </c>
      <c r="L14" s="19"/>
      <c r="M14" s="22"/>
      <c r="N14" s="11">
        <v>2100.0</v>
      </c>
      <c r="O14" s="12" t="s">
        <v>68</v>
      </c>
      <c r="P14" s="12" t="s">
        <v>68</v>
      </c>
      <c r="Q14" s="12" t="s">
        <v>68</v>
      </c>
      <c r="R14" s="12" t="s">
        <v>68</v>
      </c>
      <c r="S14" s="12" t="s">
        <v>68</v>
      </c>
      <c r="T14" s="12" t="s">
        <v>68</v>
      </c>
      <c r="U14" s="12" t="s">
        <v>68</v>
      </c>
      <c r="V14" s="12" t="s">
        <v>68</v>
      </c>
      <c r="W14" s="12" t="s">
        <v>68</v>
      </c>
      <c r="X14" s="13"/>
    </row>
    <row r="15">
      <c r="A15" s="14" t="s">
        <v>85</v>
      </c>
      <c r="B15" s="5" t="s">
        <v>39</v>
      </c>
      <c r="C15" s="15" t="s">
        <v>86</v>
      </c>
      <c r="D15" s="5" t="s">
        <v>87</v>
      </c>
      <c r="E15" s="5" t="s">
        <v>26</v>
      </c>
      <c r="F15" s="16">
        <v>46111.0</v>
      </c>
      <c r="G15" s="5" t="s">
        <v>28</v>
      </c>
      <c r="H15" s="14" t="s">
        <v>88</v>
      </c>
      <c r="I15" s="14" t="s">
        <v>89</v>
      </c>
      <c r="J15" s="17">
        <v>0.3074</v>
      </c>
      <c r="K15" s="18">
        <v>84672.0</v>
      </c>
      <c r="L15" s="19"/>
      <c r="M15" s="22"/>
      <c r="N15" s="22"/>
      <c r="O15" s="11">
        <v>8400.0</v>
      </c>
      <c r="P15" s="12">
        <v>8400.0</v>
      </c>
      <c r="Q15" s="12">
        <v>8400.0</v>
      </c>
      <c r="R15" s="12">
        <v>8400.0</v>
      </c>
      <c r="S15" s="12">
        <v>8400.0</v>
      </c>
      <c r="T15" s="12">
        <v>8400.0</v>
      </c>
      <c r="U15" s="12">
        <v>8400.0</v>
      </c>
      <c r="V15" s="12">
        <v>8400.0</v>
      </c>
      <c r="W15" s="12">
        <v>8400.0</v>
      </c>
      <c r="X15" s="13"/>
    </row>
    <row r="16">
      <c r="A16" s="7" t="s">
        <v>90</v>
      </c>
      <c r="B16" s="5" t="s">
        <v>39</v>
      </c>
      <c r="C16" s="6" t="s">
        <v>91</v>
      </c>
      <c r="D16" s="5" t="s">
        <v>25</v>
      </c>
      <c r="E16" s="5" t="s">
        <v>26</v>
      </c>
      <c r="F16" s="20">
        <v>46167.0</v>
      </c>
      <c r="G16" s="5" t="s">
        <v>28</v>
      </c>
      <c r="H16" s="7" t="s">
        <v>92</v>
      </c>
      <c r="I16" s="7" t="s">
        <v>93</v>
      </c>
      <c r="J16" s="21">
        <v>0.3736</v>
      </c>
      <c r="K16" s="9">
        <v>55440.0</v>
      </c>
      <c r="L16" s="19"/>
      <c r="M16" s="22"/>
      <c r="N16" s="22"/>
      <c r="O16" s="22"/>
      <c r="P16" s="22"/>
      <c r="Q16" s="22"/>
      <c r="R16" s="12">
        <v>4400.0</v>
      </c>
      <c r="S16" s="12">
        <v>4400.0</v>
      </c>
      <c r="T16" s="12">
        <v>4400.0</v>
      </c>
      <c r="U16" s="12">
        <v>4400.0</v>
      </c>
      <c r="V16" s="12">
        <v>4400.0</v>
      </c>
      <c r="W16" s="12">
        <v>4400.0</v>
      </c>
      <c r="X16" s="13"/>
    </row>
    <row r="17">
      <c r="A17" s="14" t="s">
        <v>94</v>
      </c>
      <c r="B17" s="5" t="s">
        <v>45</v>
      </c>
      <c r="C17" s="15" t="s">
        <v>95</v>
      </c>
      <c r="D17" s="5" t="s">
        <v>25</v>
      </c>
      <c r="E17" s="5" t="s">
        <v>26</v>
      </c>
      <c r="F17" s="16">
        <v>46178.0</v>
      </c>
      <c r="G17" s="5" t="s">
        <v>51</v>
      </c>
      <c r="H17" s="14" t="s">
        <v>96</v>
      </c>
      <c r="I17" s="14" t="s">
        <v>97</v>
      </c>
      <c r="J17" s="17">
        <v>0.3228</v>
      </c>
      <c r="K17" s="18">
        <v>76800.0</v>
      </c>
      <c r="L17" s="24"/>
      <c r="M17" s="25"/>
      <c r="N17" s="25"/>
      <c r="O17" s="25"/>
      <c r="P17" s="25"/>
      <c r="Q17" s="25"/>
      <c r="R17" s="25"/>
      <c r="S17" s="25"/>
      <c r="T17" s="26">
        <v>9150.0</v>
      </c>
      <c r="U17" s="26">
        <v>6150.0</v>
      </c>
      <c r="V17" s="26">
        <v>6150.0</v>
      </c>
      <c r="W17" s="26">
        <v>6150.0</v>
      </c>
      <c r="X17" s="13"/>
    </row>
    <row r="18">
      <c r="A18" s="7" t="s">
        <v>98</v>
      </c>
      <c r="B18" s="5" t="s">
        <v>23</v>
      </c>
      <c r="C18" s="6" t="s">
        <v>99</v>
      </c>
      <c r="D18" s="5" t="s">
        <v>25</v>
      </c>
      <c r="E18" s="5" t="s">
        <v>65</v>
      </c>
      <c r="F18" s="20">
        <v>46122.0</v>
      </c>
      <c r="G18" s="5" t="s">
        <v>28</v>
      </c>
      <c r="H18" s="7" t="s">
        <v>100</v>
      </c>
      <c r="I18" s="7" t="s">
        <v>101</v>
      </c>
      <c r="J18" s="21">
        <v>0.3</v>
      </c>
      <c r="K18" s="9">
        <v>2100.0</v>
      </c>
      <c r="L18" s="19"/>
      <c r="M18" s="22"/>
      <c r="N18" s="22"/>
      <c r="O18" s="11">
        <v>2100.0</v>
      </c>
      <c r="P18" s="12" t="s">
        <v>68</v>
      </c>
      <c r="Q18" s="12" t="s">
        <v>68</v>
      </c>
      <c r="R18" s="12" t="s">
        <v>68</v>
      </c>
      <c r="S18" s="12" t="s">
        <v>68</v>
      </c>
      <c r="T18" s="12" t="s">
        <v>68</v>
      </c>
      <c r="U18" s="12" t="s">
        <v>68</v>
      </c>
      <c r="V18" s="12" t="s">
        <v>68</v>
      </c>
      <c r="W18" s="12" t="s">
        <v>68</v>
      </c>
      <c r="X18" s="13"/>
    </row>
    <row r="19">
      <c r="A19" s="14" t="s">
        <v>102</v>
      </c>
      <c r="B19" s="5" t="s">
        <v>23</v>
      </c>
      <c r="C19" s="15" t="s">
        <v>103</v>
      </c>
      <c r="D19" s="5" t="s">
        <v>25</v>
      </c>
      <c r="E19" s="5" t="s">
        <v>65</v>
      </c>
      <c r="F19" s="16">
        <v>46122.0</v>
      </c>
      <c r="G19" s="5" t="s">
        <v>28</v>
      </c>
      <c r="H19" s="14" t="s">
        <v>104</v>
      </c>
      <c r="I19" s="14" t="s">
        <v>105</v>
      </c>
      <c r="J19" s="17">
        <v>0.3</v>
      </c>
      <c r="K19" s="18">
        <v>2100.0</v>
      </c>
      <c r="L19" s="19"/>
      <c r="M19" s="22"/>
      <c r="N19" s="22"/>
      <c r="O19" s="11">
        <v>2100.0</v>
      </c>
      <c r="P19" s="12" t="s">
        <v>68</v>
      </c>
      <c r="Q19" s="12" t="s">
        <v>68</v>
      </c>
      <c r="R19" s="12" t="s">
        <v>68</v>
      </c>
      <c r="S19" s="12" t="s">
        <v>68</v>
      </c>
      <c r="T19" s="12" t="s">
        <v>68</v>
      </c>
      <c r="U19" s="12" t="s">
        <v>68</v>
      </c>
      <c r="V19" s="12" t="s">
        <v>68</v>
      </c>
      <c r="W19" s="12" t="s">
        <v>68</v>
      </c>
      <c r="X19" s="13"/>
    </row>
    <row r="20">
      <c r="A20" s="7" t="s">
        <v>106</v>
      </c>
      <c r="B20" s="5" t="s">
        <v>23</v>
      </c>
      <c r="C20" s="6" t="s">
        <v>107</v>
      </c>
      <c r="D20" s="5" t="s">
        <v>25</v>
      </c>
      <c r="E20" s="5" t="s">
        <v>65</v>
      </c>
      <c r="F20" s="20">
        <v>46122.0</v>
      </c>
      <c r="G20" s="5" t="s">
        <v>28</v>
      </c>
      <c r="H20" s="7" t="s">
        <v>108</v>
      </c>
      <c r="I20" s="7" t="s">
        <v>109</v>
      </c>
      <c r="J20" s="21">
        <v>0.3</v>
      </c>
      <c r="K20" s="9">
        <v>2100.0</v>
      </c>
      <c r="L20" s="19"/>
      <c r="M20" s="22"/>
      <c r="N20" s="22"/>
      <c r="O20" s="11">
        <v>2100.0</v>
      </c>
      <c r="P20" s="12" t="s">
        <v>68</v>
      </c>
      <c r="Q20" s="12" t="s">
        <v>68</v>
      </c>
      <c r="R20" s="12" t="s">
        <v>68</v>
      </c>
      <c r="S20" s="12" t="s">
        <v>68</v>
      </c>
      <c r="T20" s="12" t="s">
        <v>68</v>
      </c>
      <c r="U20" s="12" t="s">
        <v>68</v>
      </c>
      <c r="V20" s="12" t="s">
        <v>68</v>
      </c>
      <c r="W20" s="12" t="s">
        <v>68</v>
      </c>
      <c r="X20" s="13"/>
    </row>
    <row r="21">
      <c r="A21" s="14" t="s">
        <v>110</v>
      </c>
      <c r="B21" s="5" t="s">
        <v>23</v>
      </c>
      <c r="C21" s="15" t="s">
        <v>111</v>
      </c>
      <c r="D21" s="5" t="s">
        <v>25</v>
      </c>
      <c r="E21" s="5" t="s">
        <v>65</v>
      </c>
      <c r="F21" s="16">
        <v>46122.0</v>
      </c>
      <c r="G21" s="5" t="s">
        <v>28</v>
      </c>
      <c r="H21" s="14" t="s">
        <v>112</v>
      </c>
      <c r="I21" s="14" t="s">
        <v>113</v>
      </c>
      <c r="J21" s="17">
        <v>0.3</v>
      </c>
      <c r="K21" s="18">
        <v>2100.0</v>
      </c>
      <c r="L21" s="19"/>
      <c r="M21" s="22"/>
      <c r="N21" s="22"/>
      <c r="O21" s="11">
        <v>2100.0</v>
      </c>
      <c r="P21" s="12" t="s">
        <v>68</v>
      </c>
      <c r="Q21" s="12" t="s">
        <v>68</v>
      </c>
      <c r="R21" s="12" t="s">
        <v>68</v>
      </c>
      <c r="S21" s="12" t="s">
        <v>68</v>
      </c>
      <c r="T21" s="12" t="s">
        <v>68</v>
      </c>
      <c r="U21" s="12" t="s">
        <v>68</v>
      </c>
      <c r="V21" s="12" t="s">
        <v>68</v>
      </c>
      <c r="W21" s="12" t="s">
        <v>68</v>
      </c>
      <c r="X21" s="13"/>
    </row>
    <row r="22">
      <c r="A22" s="7" t="s">
        <v>114</v>
      </c>
      <c r="B22" s="5" t="s">
        <v>23</v>
      </c>
      <c r="C22" s="6" t="s">
        <v>115</v>
      </c>
      <c r="D22" s="5" t="s">
        <v>25</v>
      </c>
      <c r="E22" s="5" t="s">
        <v>65</v>
      </c>
      <c r="F22" s="20">
        <v>46122.0</v>
      </c>
      <c r="G22" s="5" t="s">
        <v>28</v>
      </c>
      <c r="H22" s="7" t="s">
        <v>116</v>
      </c>
      <c r="I22" s="7" t="s">
        <v>117</v>
      </c>
      <c r="J22" s="21">
        <v>0.3</v>
      </c>
      <c r="K22" s="9">
        <v>2100.0</v>
      </c>
      <c r="L22" s="19"/>
      <c r="M22" s="22"/>
      <c r="N22" s="22"/>
      <c r="O22" s="11">
        <v>2100.0</v>
      </c>
      <c r="P22" s="12" t="s">
        <v>68</v>
      </c>
      <c r="Q22" s="12" t="s">
        <v>68</v>
      </c>
      <c r="R22" s="12" t="s">
        <v>68</v>
      </c>
      <c r="S22" s="12" t="s">
        <v>68</v>
      </c>
      <c r="T22" s="12" t="s">
        <v>68</v>
      </c>
      <c r="U22" s="12" t="s">
        <v>68</v>
      </c>
      <c r="V22" s="12" t="s">
        <v>68</v>
      </c>
      <c r="W22" s="12" t="s">
        <v>68</v>
      </c>
      <c r="X22" s="13"/>
    </row>
    <row r="23">
      <c r="A23" s="14" t="s">
        <v>118</v>
      </c>
      <c r="B23" s="5" t="s">
        <v>39</v>
      </c>
      <c r="C23" s="15" t="s">
        <v>119</v>
      </c>
      <c r="D23" s="5" t="s">
        <v>25</v>
      </c>
      <c r="E23" s="5" t="s">
        <v>41</v>
      </c>
      <c r="F23" s="16">
        <v>46199.0</v>
      </c>
      <c r="G23" s="5" t="s">
        <v>28</v>
      </c>
      <c r="H23" s="14" t="s">
        <v>120</v>
      </c>
      <c r="I23" s="14" t="s">
        <v>121</v>
      </c>
      <c r="J23" s="17">
        <v>0.3609</v>
      </c>
      <c r="K23" s="18">
        <v>52746.78</v>
      </c>
      <c r="L23" s="19"/>
      <c r="M23" s="22"/>
      <c r="N23" s="22"/>
      <c r="O23" s="22"/>
      <c r="P23" s="12">
        <v>7621.040000000001</v>
      </c>
      <c r="Q23" s="12">
        <v>3591.0400000000004</v>
      </c>
      <c r="R23" s="12">
        <v>3591.0400000000004</v>
      </c>
      <c r="S23" s="12">
        <v>3591.0400000000004</v>
      </c>
      <c r="T23" s="12">
        <v>3591.0400000000004</v>
      </c>
      <c r="U23" s="12">
        <v>3591.0400000000004</v>
      </c>
      <c r="V23" s="12">
        <v>3591.0400000000004</v>
      </c>
      <c r="W23" s="12">
        <v>3591.0400000000004</v>
      </c>
      <c r="X23" s="13"/>
    </row>
    <row r="24">
      <c r="A24" s="7" t="s">
        <v>122</v>
      </c>
      <c r="B24" s="5" t="s">
        <v>23</v>
      </c>
      <c r="C24" s="6" t="s">
        <v>123</v>
      </c>
      <c r="D24" s="5" t="s">
        <v>25</v>
      </c>
      <c r="E24" s="5" t="s">
        <v>65</v>
      </c>
      <c r="F24" s="20">
        <v>46143.0</v>
      </c>
      <c r="G24" s="5" t="s">
        <v>28</v>
      </c>
      <c r="H24" s="7" t="s">
        <v>124</v>
      </c>
      <c r="I24" s="7" t="s">
        <v>125</v>
      </c>
      <c r="J24" s="21">
        <v>0.3197</v>
      </c>
      <c r="K24" s="9">
        <v>1470.0</v>
      </c>
      <c r="L24" s="19"/>
      <c r="M24" s="22"/>
      <c r="N24" s="22"/>
      <c r="O24" s="11">
        <v>1470.0</v>
      </c>
      <c r="P24" s="12" t="s">
        <v>68</v>
      </c>
      <c r="Q24" s="12" t="s">
        <v>68</v>
      </c>
      <c r="R24" s="12" t="s">
        <v>68</v>
      </c>
      <c r="S24" s="12" t="s">
        <v>68</v>
      </c>
      <c r="T24" s="12" t="s">
        <v>68</v>
      </c>
      <c r="U24" s="12" t="s">
        <v>68</v>
      </c>
      <c r="V24" s="12" t="s">
        <v>68</v>
      </c>
      <c r="W24" s="12" t="s">
        <v>68</v>
      </c>
      <c r="X24" s="13"/>
    </row>
    <row r="25">
      <c r="A25" s="14" t="s">
        <v>126</v>
      </c>
      <c r="B25" s="5" t="s">
        <v>23</v>
      </c>
      <c r="C25" s="15" t="s">
        <v>127</v>
      </c>
      <c r="D25" s="5" t="s">
        <v>25</v>
      </c>
      <c r="E25" s="5" t="s">
        <v>65</v>
      </c>
      <c r="F25" s="16">
        <v>46143.0</v>
      </c>
      <c r="G25" s="5" t="s">
        <v>28</v>
      </c>
      <c r="H25" s="14" t="s">
        <v>128</v>
      </c>
      <c r="I25" s="14" t="s">
        <v>129</v>
      </c>
      <c r="J25" s="17">
        <v>0.3197</v>
      </c>
      <c r="K25" s="18">
        <v>1470.0</v>
      </c>
      <c r="L25" s="19"/>
      <c r="M25" s="22"/>
      <c r="N25" s="22"/>
      <c r="O25" s="11">
        <v>1470.0</v>
      </c>
      <c r="P25" s="12" t="s">
        <v>68</v>
      </c>
      <c r="Q25" s="12" t="s">
        <v>68</v>
      </c>
      <c r="R25" s="12" t="s">
        <v>68</v>
      </c>
      <c r="S25" s="12" t="s">
        <v>68</v>
      </c>
      <c r="T25" s="12" t="s">
        <v>68</v>
      </c>
      <c r="U25" s="12" t="s">
        <v>68</v>
      </c>
      <c r="V25" s="12" t="s">
        <v>68</v>
      </c>
      <c r="W25" s="12" t="s">
        <v>68</v>
      </c>
      <c r="X25" s="13"/>
    </row>
    <row r="26">
      <c r="A26" s="7" t="s">
        <v>130</v>
      </c>
      <c r="B26" s="5" t="s">
        <v>23</v>
      </c>
      <c r="C26" s="6" t="s">
        <v>131</v>
      </c>
      <c r="D26" s="5" t="s">
        <v>25</v>
      </c>
      <c r="E26" s="5" t="s">
        <v>65</v>
      </c>
      <c r="F26" s="20">
        <v>46143.0</v>
      </c>
      <c r="G26" s="5" t="s">
        <v>28</v>
      </c>
      <c r="H26" s="7" t="s">
        <v>132</v>
      </c>
      <c r="I26" s="7" t="s">
        <v>133</v>
      </c>
      <c r="J26" s="21">
        <v>0.3197</v>
      </c>
      <c r="K26" s="9">
        <v>1470.0</v>
      </c>
      <c r="L26" s="19"/>
      <c r="M26" s="22"/>
      <c r="N26" s="22"/>
      <c r="O26" s="11">
        <v>1470.0</v>
      </c>
      <c r="P26" s="12" t="s">
        <v>68</v>
      </c>
      <c r="Q26" s="12" t="s">
        <v>68</v>
      </c>
      <c r="R26" s="12" t="s">
        <v>68</v>
      </c>
      <c r="S26" s="12" t="s">
        <v>68</v>
      </c>
      <c r="T26" s="12" t="s">
        <v>68</v>
      </c>
      <c r="U26" s="12" t="s">
        <v>68</v>
      </c>
      <c r="V26" s="12" t="s">
        <v>68</v>
      </c>
      <c r="W26" s="12" t="s">
        <v>68</v>
      </c>
      <c r="X26" s="13"/>
    </row>
    <row r="27">
      <c r="A27" s="14" t="s">
        <v>134</v>
      </c>
      <c r="B27" s="5" t="s">
        <v>23</v>
      </c>
      <c r="C27" s="15" t="s">
        <v>135</v>
      </c>
      <c r="D27" s="5" t="s">
        <v>25</v>
      </c>
      <c r="E27" s="5" t="s">
        <v>65</v>
      </c>
      <c r="F27" s="16">
        <v>46162.0</v>
      </c>
      <c r="G27" s="5" t="s">
        <v>28</v>
      </c>
      <c r="H27" s="14" t="s">
        <v>136</v>
      </c>
      <c r="I27" s="14" t="s">
        <v>137</v>
      </c>
      <c r="J27" s="17">
        <v>0.3197</v>
      </c>
      <c r="K27" s="18">
        <v>1470.0</v>
      </c>
      <c r="L27" s="19"/>
      <c r="M27" s="22"/>
      <c r="N27" s="22"/>
      <c r="O27" s="22"/>
      <c r="P27" s="12">
        <v>1470.0</v>
      </c>
      <c r="Q27" s="12" t="s">
        <v>68</v>
      </c>
      <c r="R27" s="12" t="s">
        <v>68</v>
      </c>
      <c r="S27" s="12" t="s">
        <v>68</v>
      </c>
      <c r="T27" s="12" t="s">
        <v>68</v>
      </c>
      <c r="U27" s="12" t="s">
        <v>68</v>
      </c>
      <c r="V27" s="12" t="s">
        <v>68</v>
      </c>
      <c r="W27" s="12" t="s">
        <v>68</v>
      </c>
      <c r="X27" s="13"/>
    </row>
    <row r="28">
      <c r="A28" s="7" t="s">
        <v>138</v>
      </c>
      <c r="B28" s="5" t="s">
        <v>23</v>
      </c>
      <c r="C28" s="6" t="s">
        <v>139</v>
      </c>
      <c r="D28" s="5" t="s">
        <v>25</v>
      </c>
      <c r="E28" s="5" t="s">
        <v>26</v>
      </c>
      <c r="F28" s="20">
        <v>46220.0</v>
      </c>
      <c r="G28" s="5" t="s">
        <v>28</v>
      </c>
      <c r="H28" s="7" t="s">
        <v>140</v>
      </c>
      <c r="I28" s="7" t="s">
        <v>141</v>
      </c>
      <c r="J28" s="21">
        <v>0.6111</v>
      </c>
      <c r="K28" s="9">
        <v>52920.0</v>
      </c>
      <c r="L28" s="19"/>
      <c r="M28" s="22"/>
      <c r="N28" s="22"/>
      <c r="O28" s="22"/>
      <c r="P28" s="22"/>
      <c r="Q28" s="22"/>
      <c r="R28" s="22"/>
      <c r="S28" s="22"/>
      <c r="T28" s="12">
        <v>4200.0</v>
      </c>
      <c r="U28" s="12">
        <v>4200.0</v>
      </c>
      <c r="V28" s="12">
        <v>4200.0</v>
      </c>
      <c r="W28" s="12">
        <v>4200.0</v>
      </c>
      <c r="X28" s="13"/>
    </row>
    <row r="29">
      <c r="A29" s="14" t="s">
        <v>142</v>
      </c>
      <c r="B29" s="5" t="s">
        <v>23</v>
      </c>
      <c r="C29" s="15" t="s">
        <v>143</v>
      </c>
      <c r="D29" s="5" t="s">
        <v>25</v>
      </c>
      <c r="E29" s="5" t="s">
        <v>26</v>
      </c>
      <c r="F29" s="16">
        <v>46220.0</v>
      </c>
      <c r="G29" s="5" t="s">
        <v>28</v>
      </c>
      <c r="H29" s="14" t="s">
        <v>144</v>
      </c>
      <c r="I29" s="14" t="s">
        <v>145</v>
      </c>
      <c r="J29" s="17">
        <v>0.1799</v>
      </c>
      <c r="K29" s="18">
        <v>48384.0</v>
      </c>
      <c r="L29" s="19"/>
      <c r="M29" s="22"/>
      <c r="N29" s="22"/>
      <c r="O29" s="22"/>
      <c r="P29" s="22"/>
      <c r="Q29" s="22"/>
      <c r="R29" s="22"/>
      <c r="S29" s="22"/>
      <c r="T29" s="12">
        <v>3840.0</v>
      </c>
      <c r="U29" s="12">
        <v>3840.0</v>
      </c>
      <c r="V29" s="12">
        <v>3840.0</v>
      </c>
      <c r="W29" s="12">
        <v>3840.0</v>
      </c>
      <c r="X29" s="13"/>
    </row>
    <row r="30">
      <c r="A30" s="7" t="s">
        <v>146</v>
      </c>
      <c r="B30" s="5" t="s">
        <v>23</v>
      </c>
      <c r="C30" s="6" t="s">
        <v>147</v>
      </c>
      <c r="D30" s="5" t="s">
        <v>25</v>
      </c>
      <c r="E30" s="5" t="s">
        <v>31</v>
      </c>
      <c r="F30" s="20">
        <v>46193.0</v>
      </c>
      <c r="G30" s="5" t="s">
        <v>28</v>
      </c>
      <c r="H30" s="7" t="s">
        <v>148</v>
      </c>
      <c r="I30" s="7" t="s">
        <v>149</v>
      </c>
      <c r="J30" s="21">
        <v>0.3059</v>
      </c>
      <c r="K30" s="9">
        <v>116000.0</v>
      </c>
      <c r="L30" s="19"/>
      <c r="M30" s="22"/>
      <c r="N30" s="22"/>
      <c r="O30" s="22"/>
      <c r="P30" s="22"/>
      <c r="Q30" s="22"/>
      <c r="R30" s="22"/>
      <c r="S30" s="22"/>
      <c r="T30" s="12">
        <v>9800.0</v>
      </c>
      <c r="U30" s="12">
        <v>1800.0</v>
      </c>
      <c r="V30" s="12">
        <v>1800.0</v>
      </c>
      <c r="W30" s="12">
        <v>1800.0</v>
      </c>
      <c r="X30" s="13"/>
    </row>
    <row r="31">
      <c r="A31" s="14" t="s">
        <v>150</v>
      </c>
      <c r="B31" s="5" t="s">
        <v>23</v>
      </c>
      <c r="C31" s="15" t="s">
        <v>151</v>
      </c>
      <c r="D31" s="5" t="s">
        <v>25</v>
      </c>
      <c r="E31" s="5" t="s">
        <v>31</v>
      </c>
      <c r="F31" s="16">
        <v>46193.0</v>
      </c>
      <c r="G31" s="5" t="s">
        <v>28</v>
      </c>
      <c r="H31" s="14" t="s">
        <v>152</v>
      </c>
      <c r="I31" s="14" t="s">
        <v>153</v>
      </c>
      <c r="J31" s="17">
        <v>0.286</v>
      </c>
      <c r="K31" s="18">
        <v>84000.0</v>
      </c>
      <c r="L31" s="19"/>
      <c r="M31" s="22"/>
      <c r="N31" s="22"/>
      <c r="O31" s="22"/>
      <c r="P31" s="22"/>
      <c r="Q31" s="22"/>
      <c r="R31" s="22"/>
      <c r="S31" s="22"/>
      <c r="T31" s="12">
        <v>29000.0</v>
      </c>
      <c r="U31" s="12">
        <v>5000.0</v>
      </c>
      <c r="V31" s="12">
        <v>5000.0</v>
      </c>
      <c r="W31" s="12">
        <v>5000.0</v>
      </c>
      <c r="X31" s="13"/>
    </row>
    <row r="32">
      <c r="A32" s="7" t="s">
        <v>154</v>
      </c>
      <c r="B32" s="5" t="s">
        <v>23</v>
      </c>
      <c r="C32" s="6" t="s">
        <v>155</v>
      </c>
      <c r="D32" s="5" t="s">
        <v>25</v>
      </c>
      <c r="E32" s="5" t="s">
        <v>31</v>
      </c>
      <c r="F32" s="20">
        <v>46193.0</v>
      </c>
      <c r="G32" s="5" t="s">
        <v>28</v>
      </c>
      <c r="H32" s="7" t="s">
        <v>156</v>
      </c>
      <c r="I32" s="7" t="s">
        <v>157</v>
      </c>
      <c r="J32" s="21">
        <v>0.3137</v>
      </c>
      <c r="K32" s="9">
        <v>59600.0</v>
      </c>
      <c r="L32" s="19"/>
      <c r="M32" s="22"/>
      <c r="N32" s="22"/>
      <c r="O32" s="22"/>
      <c r="P32" s="22"/>
      <c r="Q32" s="22"/>
      <c r="R32" s="22"/>
      <c r="S32" s="12">
        <v>8860.0</v>
      </c>
      <c r="T32" s="12">
        <v>860.0</v>
      </c>
      <c r="U32" s="12">
        <v>860.0</v>
      </c>
      <c r="V32" s="12">
        <v>860.0</v>
      </c>
      <c r="W32" s="12">
        <v>860.0</v>
      </c>
      <c r="X32" s="13"/>
    </row>
    <row r="33">
      <c r="A33" s="14" t="s">
        <v>158</v>
      </c>
      <c r="B33" s="5" t="s">
        <v>23</v>
      </c>
      <c r="C33" s="15" t="s">
        <v>159</v>
      </c>
      <c r="D33" s="5" t="s">
        <v>25</v>
      </c>
      <c r="E33" s="5" t="s">
        <v>31</v>
      </c>
      <c r="F33" s="16">
        <v>46193.0</v>
      </c>
      <c r="G33" s="5" t="s">
        <v>28</v>
      </c>
      <c r="H33" s="14" t="s">
        <v>160</v>
      </c>
      <c r="I33" s="14" t="s">
        <v>161</v>
      </c>
      <c r="J33" s="17">
        <v>0.3052</v>
      </c>
      <c r="K33" s="18">
        <v>69600.0</v>
      </c>
      <c r="L33" s="19"/>
      <c r="M33" s="22"/>
      <c r="N33" s="22"/>
      <c r="O33" s="22"/>
      <c r="P33" s="22"/>
      <c r="Q33" s="22"/>
      <c r="R33" s="22"/>
      <c r="S33" s="22"/>
      <c r="T33" s="12">
        <v>12960.0</v>
      </c>
      <c r="U33" s="12">
        <v>960.0</v>
      </c>
      <c r="V33" s="12">
        <v>960.0</v>
      </c>
      <c r="W33" s="12">
        <v>960.0</v>
      </c>
      <c r="X33" s="13"/>
    </row>
    <row r="34">
      <c r="A34" s="7" t="s">
        <v>162</v>
      </c>
      <c r="B34" s="5" t="s">
        <v>23</v>
      </c>
      <c r="C34" s="6" t="s">
        <v>163</v>
      </c>
      <c r="D34" s="5" t="s">
        <v>25</v>
      </c>
      <c r="E34" s="5" t="s">
        <v>31</v>
      </c>
      <c r="F34" s="20">
        <v>46193.0</v>
      </c>
      <c r="G34" s="5" t="s">
        <v>28</v>
      </c>
      <c r="H34" s="7" t="s">
        <v>164</v>
      </c>
      <c r="I34" s="7" t="s">
        <v>165</v>
      </c>
      <c r="J34" s="21">
        <v>0.3052</v>
      </c>
      <c r="K34" s="9">
        <v>69600.0</v>
      </c>
      <c r="L34" s="19"/>
      <c r="M34" s="22"/>
      <c r="N34" s="22"/>
      <c r="O34" s="22"/>
      <c r="P34" s="22"/>
      <c r="Q34" s="22"/>
      <c r="R34" s="22"/>
      <c r="S34" s="22"/>
      <c r="T34" s="12">
        <v>12960.0</v>
      </c>
      <c r="U34" s="12">
        <v>960.0</v>
      </c>
      <c r="V34" s="12">
        <v>960.0</v>
      </c>
      <c r="W34" s="12">
        <v>960.0</v>
      </c>
      <c r="X34" s="13"/>
    </row>
    <row r="35">
      <c r="A35" s="14" t="s">
        <v>166</v>
      </c>
      <c r="B35" s="5" t="s">
        <v>23</v>
      </c>
      <c r="C35" s="15" t="s">
        <v>167</v>
      </c>
      <c r="D35" s="5" t="s">
        <v>25</v>
      </c>
      <c r="E35" s="5" t="s">
        <v>26</v>
      </c>
      <c r="F35" s="16">
        <v>46251.0</v>
      </c>
      <c r="G35" s="5" t="s">
        <v>56</v>
      </c>
      <c r="H35" s="14" t="s">
        <v>168</v>
      </c>
      <c r="I35" s="14" t="s">
        <v>169</v>
      </c>
      <c r="J35" s="17">
        <v>0.2747</v>
      </c>
      <c r="K35" s="18">
        <v>250800.0</v>
      </c>
      <c r="L35" s="19"/>
      <c r="M35" s="22"/>
      <c r="N35" s="22"/>
      <c r="O35" s="22"/>
      <c r="P35" s="22"/>
      <c r="Q35" s="22"/>
      <c r="R35" s="22"/>
      <c r="S35" s="22"/>
      <c r="T35" s="12">
        <f t="shared" ref="T35:W35" si="1">1045*4</f>
        <v>4180</v>
      </c>
      <c r="U35" s="12">
        <f t="shared" si="1"/>
        <v>4180</v>
      </c>
      <c r="V35" s="12">
        <f t="shared" si="1"/>
        <v>4180</v>
      </c>
      <c r="W35" s="12">
        <f t="shared" si="1"/>
        <v>4180</v>
      </c>
      <c r="X35" s="13"/>
    </row>
    <row r="36">
      <c r="A36" s="7" t="s">
        <v>170</v>
      </c>
      <c r="B36" s="5" t="s">
        <v>171</v>
      </c>
      <c r="C36" s="6" t="s">
        <v>172</v>
      </c>
      <c r="D36" s="5" t="s">
        <v>25</v>
      </c>
      <c r="E36" s="5" t="s">
        <v>26</v>
      </c>
      <c r="F36" s="20">
        <v>46288.0</v>
      </c>
      <c r="G36" s="5" t="s">
        <v>51</v>
      </c>
      <c r="H36" s="7" t="s">
        <v>173</v>
      </c>
      <c r="I36" s="7" t="s">
        <v>174</v>
      </c>
      <c r="J36" s="21">
        <v>0.2188</v>
      </c>
      <c r="K36" s="9">
        <v>128240.0</v>
      </c>
      <c r="L36" s="27"/>
      <c r="M36" s="28"/>
      <c r="N36" s="28"/>
      <c r="O36" s="28"/>
      <c r="P36" s="28"/>
      <c r="Q36" s="28"/>
      <c r="R36" s="28"/>
      <c r="S36" s="28"/>
      <c r="T36" s="29">
        <f>(2000+835)*4</f>
        <v>11340</v>
      </c>
      <c r="U36" s="29">
        <f t="shared" ref="U36:W36" si="2">835*4</f>
        <v>3340</v>
      </c>
      <c r="V36" s="29">
        <f t="shared" si="2"/>
        <v>3340</v>
      </c>
      <c r="W36" s="29">
        <f t="shared" si="2"/>
        <v>3340</v>
      </c>
      <c r="X36" s="13"/>
    </row>
    <row r="37">
      <c r="A37" s="14" t="s">
        <v>175</v>
      </c>
      <c r="B37" s="5" t="s">
        <v>45</v>
      </c>
      <c r="C37" s="15" t="s">
        <v>176</v>
      </c>
      <c r="D37" s="5" t="s">
        <v>177</v>
      </c>
      <c r="E37" s="5" t="s">
        <v>178</v>
      </c>
      <c r="F37" s="16">
        <v>46213.0</v>
      </c>
      <c r="G37" s="5" t="s">
        <v>28</v>
      </c>
      <c r="H37" s="14" t="s">
        <v>179</v>
      </c>
      <c r="I37" s="14" t="s">
        <v>180</v>
      </c>
      <c r="J37" s="17">
        <v>0.25</v>
      </c>
      <c r="K37" s="18">
        <v>28000.0</v>
      </c>
      <c r="L37" s="19"/>
      <c r="M37" s="22"/>
      <c r="N37" s="22"/>
      <c r="O37" s="22"/>
      <c r="P37" s="22"/>
      <c r="Q37" s="22"/>
      <c r="R37" s="22"/>
      <c r="S37" s="12">
        <f>7000+1750</f>
        <v>8750</v>
      </c>
      <c r="T37" s="12">
        <v>1750.0</v>
      </c>
      <c r="U37" s="12">
        <v>1750.0</v>
      </c>
      <c r="V37" s="12">
        <v>1750.0</v>
      </c>
      <c r="W37" s="12">
        <v>1750.0</v>
      </c>
      <c r="X37" s="13"/>
    </row>
    <row r="38">
      <c r="A38" s="7" t="s">
        <v>181</v>
      </c>
      <c r="B38" s="5" t="s">
        <v>39</v>
      </c>
      <c r="C38" s="6" t="s">
        <v>182</v>
      </c>
      <c r="D38" s="5" t="s">
        <v>177</v>
      </c>
      <c r="E38" s="5" t="s">
        <v>41</v>
      </c>
      <c r="F38" s="20">
        <v>46233.0</v>
      </c>
      <c r="G38" s="5" t="s">
        <v>183</v>
      </c>
      <c r="H38" s="7" t="s">
        <v>184</v>
      </c>
      <c r="I38" s="7" t="s">
        <v>185</v>
      </c>
      <c r="J38" s="8"/>
      <c r="K38" s="30"/>
      <c r="L38" s="27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13"/>
    </row>
    <row r="39">
      <c r="A39" s="14" t="s">
        <v>186</v>
      </c>
      <c r="B39" s="5" t="s">
        <v>23</v>
      </c>
      <c r="C39" s="15" t="s">
        <v>187</v>
      </c>
      <c r="D39" s="5" t="s">
        <v>25</v>
      </c>
      <c r="E39" s="5" t="s">
        <v>31</v>
      </c>
      <c r="F39" s="14" t="s">
        <v>188</v>
      </c>
      <c r="G39" s="5" t="s">
        <v>28</v>
      </c>
      <c r="H39" s="14" t="s">
        <v>189</v>
      </c>
      <c r="I39" s="14" t="s">
        <v>190</v>
      </c>
      <c r="J39" s="17">
        <v>0.4051</v>
      </c>
      <c r="K39" s="18">
        <v>16800.0</v>
      </c>
      <c r="L39" s="19"/>
      <c r="M39" s="22"/>
      <c r="N39" s="22"/>
      <c r="O39" s="22"/>
      <c r="P39" s="22"/>
      <c r="Q39" s="22"/>
      <c r="R39" s="22"/>
      <c r="S39" s="12">
        <f>(600+60)*4</f>
        <v>2640</v>
      </c>
      <c r="T39" s="12">
        <f>60*4</f>
        <v>240</v>
      </c>
      <c r="U39" s="12">
        <v>240.0</v>
      </c>
      <c r="V39" s="12">
        <v>240.0</v>
      </c>
      <c r="W39" s="12">
        <v>240.0</v>
      </c>
      <c r="X39" s="13"/>
    </row>
    <row r="40">
      <c r="A40" s="7" t="s">
        <v>191</v>
      </c>
      <c r="B40" s="5" t="s">
        <v>23</v>
      </c>
      <c r="C40" s="6" t="s">
        <v>192</v>
      </c>
      <c r="D40" s="5" t="s">
        <v>25</v>
      </c>
      <c r="E40" s="5" t="s">
        <v>31</v>
      </c>
      <c r="F40" s="31">
        <v>46259.0</v>
      </c>
      <c r="G40" s="5" t="s">
        <v>51</v>
      </c>
      <c r="H40" s="7" t="s">
        <v>193</v>
      </c>
      <c r="I40" s="7" t="s">
        <v>194</v>
      </c>
      <c r="J40" s="21">
        <v>0.2243</v>
      </c>
      <c r="K40" s="9">
        <v>18000.0</v>
      </c>
      <c r="L40" s="27"/>
      <c r="M40" s="28"/>
      <c r="N40" s="28"/>
      <c r="O40" s="28"/>
      <c r="P40" s="28"/>
      <c r="Q40" s="28"/>
      <c r="R40" s="28"/>
      <c r="S40" s="28"/>
      <c r="T40" s="29">
        <v>18000.0</v>
      </c>
      <c r="U40" s="29" t="s">
        <v>68</v>
      </c>
      <c r="V40" s="29" t="s">
        <v>68</v>
      </c>
      <c r="W40" s="29" t="s">
        <v>68</v>
      </c>
      <c r="X40" s="13"/>
    </row>
    <row r="41">
      <c r="A41" s="14" t="s">
        <v>195</v>
      </c>
      <c r="B41" s="5" t="s">
        <v>23</v>
      </c>
      <c r="C41" s="15" t="s">
        <v>196</v>
      </c>
      <c r="D41" s="5" t="s">
        <v>25</v>
      </c>
      <c r="E41" s="5" t="s">
        <v>26</v>
      </c>
      <c r="F41" s="14" t="s">
        <v>188</v>
      </c>
      <c r="G41" s="5" t="s">
        <v>51</v>
      </c>
      <c r="H41" s="14" t="s">
        <v>197</v>
      </c>
      <c r="I41" s="14" t="s">
        <v>198</v>
      </c>
      <c r="J41" s="17">
        <v>0.318</v>
      </c>
      <c r="K41" s="18">
        <v>218000.0</v>
      </c>
      <c r="L41" s="24"/>
      <c r="M41" s="25"/>
      <c r="N41" s="25"/>
      <c r="O41" s="25"/>
      <c r="P41" s="25"/>
      <c r="Q41" s="25"/>
      <c r="R41" s="25"/>
      <c r="S41" s="25"/>
      <c r="T41" s="26" t="s">
        <v>199</v>
      </c>
      <c r="U41" s="26" t="s">
        <v>200</v>
      </c>
      <c r="V41" s="26" t="s">
        <v>200</v>
      </c>
      <c r="W41" s="26" t="s">
        <v>200</v>
      </c>
      <c r="X41" s="13"/>
    </row>
    <row r="42">
      <c r="A42" s="7" t="s">
        <v>201</v>
      </c>
      <c r="B42" s="5" t="s">
        <v>23</v>
      </c>
      <c r="C42" s="6" t="s">
        <v>202</v>
      </c>
      <c r="D42" s="5" t="s">
        <v>25</v>
      </c>
      <c r="E42" s="5" t="s">
        <v>26</v>
      </c>
      <c r="F42" s="7" t="s">
        <v>188</v>
      </c>
      <c r="G42" s="5" t="s">
        <v>51</v>
      </c>
      <c r="H42" s="7" t="s">
        <v>203</v>
      </c>
      <c r="I42" s="7" t="s">
        <v>204</v>
      </c>
      <c r="J42" s="21">
        <v>0.3164</v>
      </c>
      <c r="K42" s="9">
        <v>310400.0</v>
      </c>
      <c r="L42" s="27"/>
      <c r="M42" s="28"/>
      <c r="N42" s="28"/>
      <c r="O42" s="28"/>
      <c r="P42" s="28"/>
      <c r="Q42" s="28"/>
      <c r="R42" s="28"/>
      <c r="S42" s="28"/>
      <c r="T42" s="29" t="s">
        <v>205</v>
      </c>
      <c r="U42" s="29" t="s">
        <v>206</v>
      </c>
      <c r="V42" s="29" t="s">
        <v>206</v>
      </c>
      <c r="W42" s="29" t="s">
        <v>206</v>
      </c>
      <c r="X42" s="13"/>
    </row>
    <row r="43">
      <c r="A43" s="14" t="s">
        <v>207</v>
      </c>
      <c r="B43" s="5" t="s">
        <v>208</v>
      </c>
      <c r="C43" s="15" t="s">
        <v>209</v>
      </c>
      <c r="D43" s="5" t="s">
        <v>25</v>
      </c>
      <c r="E43" s="5" t="s">
        <v>210</v>
      </c>
      <c r="F43" s="32">
        <v>46265.0</v>
      </c>
      <c r="G43" s="5" t="s">
        <v>56</v>
      </c>
      <c r="H43" s="14" t="s">
        <v>211</v>
      </c>
      <c r="I43" s="14" t="s">
        <v>212</v>
      </c>
      <c r="J43" s="17">
        <v>0.3099</v>
      </c>
      <c r="K43" s="18">
        <v>83180.0</v>
      </c>
      <c r="L43" s="19"/>
      <c r="M43" s="22"/>
      <c r="N43" s="22"/>
      <c r="O43" s="22"/>
      <c r="P43" s="22"/>
      <c r="Q43" s="22"/>
      <c r="R43" s="22"/>
      <c r="S43" s="12">
        <f>2000+2255</f>
        <v>4255</v>
      </c>
      <c r="T43" s="12">
        <f t="shared" ref="T43:W43" si="3">2255</f>
        <v>2255</v>
      </c>
      <c r="U43" s="12">
        <f t="shared" si="3"/>
        <v>2255</v>
      </c>
      <c r="V43" s="12">
        <f t="shared" si="3"/>
        <v>2255</v>
      </c>
      <c r="W43" s="12">
        <f t="shared" si="3"/>
        <v>2255</v>
      </c>
      <c r="X43" s="13"/>
    </row>
    <row r="44">
      <c r="A44" s="7" t="s">
        <v>213</v>
      </c>
      <c r="B44" s="5" t="s">
        <v>45</v>
      </c>
      <c r="C44" s="6" t="s">
        <v>214</v>
      </c>
      <c r="D44" s="5" t="s">
        <v>25</v>
      </c>
      <c r="E44" s="5" t="s">
        <v>26</v>
      </c>
      <c r="F44" s="20">
        <v>46295.0</v>
      </c>
      <c r="G44" s="5" t="s">
        <v>51</v>
      </c>
      <c r="H44" s="7" t="s">
        <v>215</v>
      </c>
      <c r="I44" s="7" t="s">
        <v>216</v>
      </c>
      <c r="J44" s="21">
        <v>0.2825</v>
      </c>
      <c r="K44" s="9">
        <v>108600.0</v>
      </c>
      <c r="L44" s="27"/>
      <c r="M44" s="28"/>
      <c r="N44" s="28"/>
      <c r="O44" s="28"/>
      <c r="P44" s="28"/>
      <c r="Q44" s="28"/>
      <c r="R44" s="28"/>
      <c r="S44" s="28"/>
      <c r="T44" s="28"/>
      <c r="U44" s="28"/>
      <c r="V44" s="28"/>
      <c r="W44" s="29">
        <f>6000+8550</f>
        <v>14550</v>
      </c>
      <c r="X44" s="13"/>
    </row>
    <row r="45">
      <c r="A45" s="14" t="s">
        <v>217</v>
      </c>
      <c r="B45" s="5" t="s">
        <v>23</v>
      </c>
      <c r="C45" s="15" t="s">
        <v>218</v>
      </c>
      <c r="D45" s="5" t="s">
        <v>25</v>
      </c>
      <c r="E45" s="5" t="s">
        <v>31</v>
      </c>
      <c r="F45" s="14" t="s">
        <v>219</v>
      </c>
      <c r="G45" s="5" t="s">
        <v>51</v>
      </c>
      <c r="H45" s="14" t="s">
        <v>220</v>
      </c>
      <c r="I45" s="14" t="s">
        <v>221</v>
      </c>
      <c r="J45" s="17">
        <v>0.3144</v>
      </c>
      <c r="K45" s="18">
        <v>44280.0</v>
      </c>
      <c r="L45" s="24"/>
      <c r="M45" s="25"/>
      <c r="N45" s="25"/>
      <c r="O45" s="25"/>
      <c r="P45" s="25"/>
      <c r="Q45" s="25"/>
      <c r="R45" s="25"/>
      <c r="S45" s="25"/>
      <c r="T45" s="26">
        <f>(4350+140)*4</f>
        <v>17960</v>
      </c>
      <c r="U45" s="26">
        <f t="shared" ref="U45:W45" si="4">140*4</f>
        <v>560</v>
      </c>
      <c r="V45" s="26">
        <f t="shared" si="4"/>
        <v>560</v>
      </c>
      <c r="W45" s="26">
        <f t="shared" si="4"/>
        <v>560</v>
      </c>
      <c r="X45" s="13"/>
    </row>
    <row r="46">
      <c r="A46" s="7" t="s">
        <v>222</v>
      </c>
      <c r="B46" s="5" t="s">
        <v>208</v>
      </c>
      <c r="C46" s="6" t="s">
        <v>223</v>
      </c>
      <c r="D46" s="5" t="s">
        <v>25</v>
      </c>
      <c r="E46" s="5" t="s">
        <v>26</v>
      </c>
      <c r="F46" s="31">
        <v>46339.0</v>
      </c>
      <c r="G46" s="5" t="s">
        <v>51</v>
      </c>
      <c r="H46" s="7" t="s">
        <v>224</v>
      </c>
      <c r="I46" s="7" t="s">
        <v>225</v>
      </c>
      <c r="J46" s="21">
        <v>0.3204</v>
      </c>
      <c r="K46" s="9">
        <v>185600.0</v>
      </c>
      <c r="L46" s="27"/>
      <c r="M46" s="28"/>
      <c r="N46" s="28"/>
      <c r="O46" s="28"/>
      <c r="P46" s="28"/>
      <c r="Q46" s="28"/>
      <c r="R46" s="28"/>
      <c r="S46" s="28"/>
      <c r="T46" s="28"/>
      <c r="U46" s="28"/>
      <c r="V46" s="28"/>
      <c r="W46" s="29">
        <f>2000+ 5100</f>
        <v>7100</v>
      </c>
      <c r="X46" s="13"/>
    </row>
    <row r="47">
      <c r="A47" s="14" t="s">
        <v>226</v>
      </c>
      <c r="B47" s="5" t="s">
        <v>23</v>
      </c>
      <c r="C47" s="15" t="s">
        <v>227</v>
      </c>
      <c r="D47" s="5" t="s">
        <v>25</v>
      </c>
      <c r="E47" s="5" t="s">
        <v>31</v>
      </c>
      <c r="F47" s="14" t="s">
        <v>20</v>
      </c>
      <c r="G47" s="5" t="s">
        <v>51</v>
      </c>
      <c r="H47" s="14" t="s">
        <v>228</v>
      </c>
      <c r="I47" s="14" t="s">
        <v>229</v>
      </c>
      <c r="J47" s="17">
        <v>0.3449</v>
      </c>
      <c r="K47" s="18">
        <f t="shared" ref="K47:K49" si="5">5840*4</f>
        <v>23360</v>
      </c>
      <c r="L47" s="24"/>
      <c r="M47" s="25"/>
      <c r="N47" s="25"/>
      <c r="O47" s="25"/>
      <c r="P47" s="25"/>
      <c r="Q47" s="25"/>
      <c r="R47" s="25"/>
      <c r="S47" s="25"/>
      <c r="T47" s="25"/>
      <c r="U47" s="26">
        <f>(2000+80)*4</f>
        <v>8320</v>
      </c>
      <c r="V47" s="26">
        <f>80*4</f>
        <v>320</v>
      </c>
      <c r="W47" s="26">
        <v>320.0</v>
      </c>
      <c r="X47" s="13"/>
    </row>
    <row r="48">
      <c r="A48" s="7" t="s">
        <v>230</v>
      </c>
      <c r="B48" s="5" t="s">
        <v>23</v>
      </c>
      <c r="C48" s="6" t="s">
        <v>231</v>
      </c>
      <c r="D48" s="5" t="s">
        <v>25</v>
      </c>
      <c r="E48" s="5" t="s">
        <v>31</v>
      </c>
      <c r="F48" s="7" t="s">
        <v>20</v>
      </c>
      <c r="G48" s="5" t="s">
        <v>51</v>
      </c>
      <c r="H48" s="7" t="s">
        <v>232</v>
      </c>
      <c r="I48" s="7" t="s">
        <v>233</v>
      </c>
      <c r="J48" s="21">
        <v>0.3449</v>
      </c>
      <c r="K48" s="9">
        <f t="shared" si="5"/>
        <v>23360</v>
      </c>
      <c r="L48" s="27"/>
      <c r="M48" s="28"/>
      <c r="N48" s="28"/>
      <c r="O48" s="28"/>
      <c r="P48" s="28"/>
      <c r="Q48" s="28"/>
      <c r="R48" s="28"/>
      <c r="S48" s="28"/>
      <c r="T48" s="28"/>
      <c r="U48" s="29">
        <v>8320.0</v>
      </c>
      <c r="V48" s="29">
        <v>320.0</v>
      </c>
      <c r="W48" s="29">
        <v>320.0</v>
      </c>
      <c r="X48" s="13"/>
    </row>
    <row r="49">
      <c r="A49" s="14" t="s">
        <v>234</v>
      </c>
      <c r="B49" s="5" t="s">
        <v>23</v>
      </c>
      <c r="C49" s="15" t="s">
        <v>235</v>
      </c>
      <c r="D49" s="5" t="s">
        <v>25</v>
      </c>
      <c r="E49" s="5" t="s">
        <v>31</v>
      </c>
      <c r="F49" s="14" t="s">
        <v>20</v>
      </c>
      <c r="G49" s="5" t="s">
        <v>51</v>
      </c>
      <c r="H49" s="14" t="s">
        <v>236</v>
      </c>
      <c r="I49" s="14" t="s">
        <v>237</v>
      </c>
      <c r="J49" s="17">
        <v>0.4783</v>
      </c>
      <c r="K49" s="18">
        <f t="shared" si="5"/>
        <v>23360</v>
      </c>
      <c r="L49" s="24"/>
      <c r="M49" s="25"/>
      <c r="N49" s="25"/>
      <c r="O49" s="25"/>
      <c r="P49" s="25"/>
      <c r="Q49" s="25"/>
      <c r="R49" s="25"/>
      <c r="S49" s="25"/>
      <c r="T49" s="25"/>
      <c r="U49" s="26">
        <f>(2000+80)*4</f>
        <v>8320</v>
      </c>
      <c r="V49" s="26">
        <v>320.0</v>
      </c>
      <c r="W49" s="26">
        <v>320.0</v>
      </c>
      <c r="X49" s="13"/>
    </row>
    <row r="50">
      <c r="A50" s="7" t="s">
        <v>238</v>
      </c>
      <c r="B50" s="5" t="s">
        <v>23</v>
      </c>
      <c r="C50" s="6" t="s">
        <v>239</v>
      </c>
      <c r="D50" s="5" t="s">
        <v>25</v>
      </c>
      <c r="E50" s="5" t="s">
        <v>31</v>
      </c>
      <c r="F50" s="7" t="s">
        <v>20</v>
      </c>
      <c r="G50" s="5" t="s">
        <v>51</v>
      </c>
      <c r="H50" s="7" t="s">
        <v>240</v>
      </c>
      <c r="I50" s="7" t="s">
        <v>241</v>
      </c>
      <c r="J50" s="21">
        <v>0.4496</v>
      </c>
      <c r="K50" s="9">
        <f t="shared" ref="K50:K51" si="7">3180*4</f>
        <v>12720</v>
      </c>
      <c r="L50" s="27"/>
      <c r="M50" s="28"/>
      <c r="N50" s="28"/>
      <c r="O50" s="28"/>
      <c r="P50" s="28"/>
      <c r="Q50" s="28"/>
      <c r="R50" s="28"/>
      <c r="S50" s="28"/>
      <c r="T50" s="28"/>
      <c r="U50" s="29">
        <f t="shared" ref="U50:U51" si="8">(300+60)*4</f>
        <v>1440</v>
      </c>
      <c r="V50" s="29">
        <f t="shared" ref="V50:W50" si="6">60*4</f>
        <v>240</v>
      </c>
      <c r="W50" s="29">
        <f t="shared" si="6"/>
        <v>240</v>
      </c>
      <c r="X50" s="13"/>
    </row>
    <row r="51">
      <c r="A51" s="14" t="s">
        <v>242</v>
      </c>
      <c r="B51" s="5" t="s">
        <v>23</v>
      </c>
      <c r="C51" s="15" t="s">
        <v>243</v>
      </c>
      <c r="D51" s="5" t="s">
        <v>25</v>
      </c>
      <c r="E51" s="5" t="s">
        <v>31</v>
      </c>
      <c r="F51" s="14" t="s">
        <v>20</v>
      </c>
      <c r="G51" s="5" t="s">
        <v>51</v>
      </c>
      <c r="H51" s="14" t="s">
        <v>244</v>
      </c>
      <c r="I51" s="14" t="s">
        <v>245</v>
      </c>
      <c r="J51" s="17">
        <v>0.4496</v>
      </c>
      <c r="K51" s="18">
        <f t="shared" si="7"/>
        <v>12720</v>
      </c>
      <c r="L51" s="24"/>
      <c r="M51" s="25"/>
      <c r="N51" s="25"/>
      <c r="O51" s="25"/>
      <c r="P51" s="25"/>
      <c r="Q51" s="25"/>
      <c r="R51" s="25"/>
      <c r="S51" s="25"/>
      <c r="T51" s="25"/>
      <c r="U51" s="26">
        <f t="shared" si="8"/>
        <v>1440</v>
      </c>
      <c r="V51" s="26">
        <f t="shared" ref="V51:W51" si="9">60*4</f>
        <v>240</v>
      </c>
      <c r="W51" s="26">
        <f t="shared" si="9"/>
        <v>240</v>
      </c>
      <c r="X51" s="13"/>
    </row>
    <row r="52">
      <c r="A52" s="7" t="s">
        <v>246</v>
      </c>
      <c r="B52" s="5" t="s">
        <v>45</v>
      </c>
      <c r="C52" s="6" t="s">
        <v>247</v>
      </c>
      <c r="D52" s="5" t="s">
        <v>25</v>
      </c>
      <c r="E52" s="5" t="s">
        <v>41</v>
      </c>
      <c r="F52" s="7" t="s">
        <v>248</v>
      </c>
      <c r="G52" s="5" t="s">
        <v>28</v>
      </c>
      <c r="H52" s="7" t="s">
        <v>249</v>
      </c>
      <c r="I52" s="7" t="s">
        <v>250</v>
      </c>
      <c r="J52" s="21">
        <v>0.353</v>
      </c>
      <c r="K52" s="9">
        <v>76200.0</v>
      </c>
      <c r="L52" s="19"/>
      <c r="M52" s="22"/>
      <c r="N52" s="22"/>
      <c r="O52" s="22"/>
      <c r="P52" s="22"/>
      <c r="Q52" s="22"/>
      <c r="R52" s="22"/>
      <c r="S52" s="22"/>
      <c r="T52" s="12">
        <v>6350.0</v>
      </c>
      <c r="U52" s="12">
        <v>6350.0</v>
      </c>
      <c r="V52" s="12">
        <v>6350.0</v>
      </c>
      <c r="W52" s="12">
        <v>6350.0</v>
      </c>
      <c r="X52" s="13"/>
    </row>
    <row r="53">
      <c r="A53" s="14" t="s">
        <v>251</v>
      </c>
      <c r="B53" s="5" t="s">
        <v>23</v>
      </c>
      <c r="C53" s="15" t="s">
        <v>252</v>
      </c>
      <c r="D53" s="5" t="s">
        <v>25</v>
      </c>
      <c r="E53" s="5" t="s">
        <v>178</v>
      </c>
      <c r="F53" s="14" t="s">
        <v>248</v>
      </c>
      <c r="G53" s="5" t="s">
        <v>51</v>
      </c>
      <c r="H53" s="14" t="s">
        <v>253</v>
      </c>
      <c r="I53" s="14" t="s">
        <v>254</v>
      </c>
      <c r="J53" s="17">
        <v>0.3526</v>
      </c>
      <c r="K53" s="18">
        <v>15200.0</v>
      </c>
      <c r="L53" s="24"/>
      <c r="M53" s="25"/>
      <c r="N53" s="25"/>
      <c r="O53" s="25"/>
      <c r="P53" s="25"/>
      <c r="Q53" s="25"/>
      <c r="R53" s="25"/>
      <c r="S53" s="25"/>
      <c r="T53" s="26">
        <f>3800*4</f>
        <v>15200</v>
      </c>
      <c r="U53" s="26" t="s">
        <v>68</v>
      </c>
      <c r="V53" s="26" t="s">
        <v>68</v>
      </c>
      <c r="W53" s="26" t="s">
        <v>68</v>
      </c>
      <c r="X53" s="13"/>
    </row>
    <row r="54">
      <c r="A54" s="4"/>
      <c r="B54" s="5" t="s">
        <v>23</v>
      </c>
      <c r="C54" s="33" t="s">
        <v>255</v>
      </c>
      <c r="D54" s="5" t="s">
        <v>25</v>
      </c>
      <c r="E54" s="5" t="s">
        <v>31</v>
      </c>
      <c r="F54" s="7" t="s">
        <v>256</v>
      </c>
      <c r="G54" s="5" t="s">
        <v>257</v>
      </c>
      <c r="H54" s="34" t="s">
        <v>258</v>
      </c>
      <c r="I54" s="34" t="s">
        <v>259</v>
      </c>
      <c r="J54" s="21">
        <v>0.3758</v>
      </c>
      <c r="K54" s="9">
        <v>512000.0</v>
      </c>
      <c r="L54" s="27"/>
      <c r="M54" s="28"/>
      <c r="N54" s="28"/>
      <c r="O54" s="28"/>
      <c r="P54" s="28"/>
      <c r="Q54" s="28"/>
      <c r="R54" s="28"/>
      <c r="S54" s="28"/>
      <c r="T54" s="28"/>
      <c r="U54" s="28"/>
      <c r="V54" s="29">
        <f>(80000+800)*4</f>
        <v>323200</v>
      </c>
      <c r="W54" s="29">
        <f>800*4</f>
        <v>3200</v>
      </c>
      <c r="X54" s="13"/>
    </row>
    <row r="55">
      <c r="A55" s="35"/>
      <c r="B55" s="5" t="s">
        <v>23</v>
      </c>
      <c r="C55" s="36" t="s">
        <v>260</v>
      </c>
      <c r="D55" s="5" t="s">
        <v>25</v>
      </c>
      <c r="E55" s="5" t="s">
        <v>31</v>
      </c>
      <c r="F55" s="14" t="s">
        <v>256</v>
      </c>
      <c r="G55" s="5" t="s">
        <v>257</v>
      </c>
      <c r="H55" s="14" t="s">
        <v>261</v>
      </c>
      <c r="I55" s="37" t="s">
        <v>259</v>
      </c>
      <c r="J55" s="17">
        <v>0.4628</v>
      </c>
      <c r="K55" s="18">
        <v>26400.0</v>
      </c>
      <c r="L55" s="24"/>
      <c r="M55" s="25"/>
      <c r="N55" s="25"/>
      <c r="O55" s="25"/>
      <c r="P55" s="25"/>
      <c r="Q55" s="25"/>
      <c r="R55" s="25"/>
      <c r="S55" s="25"/>
      <c r="T55" s="25"/>
      <c r="U55" s="25"/>
      <c r="V55" s="26">
        <f>(3000+60)*4</f>
        <v>12240</v>
      </c>
      <c r="W55" s="26">
        <f>60*4</f>
        <v>240</v>
      </c>
      <c r="X55" s="13"/>
    </row>
    <row r="56">
      <c r="A56" s="4"/>
      <c r="B56" s="5" t="s">
        <v>23</v>
      </c>
      <c r="C56" s="33" t="s">
        <v>262</v>
      </c>
      <c r="D56" s="5" t="s">
        <v>25</v>
      </c>
      <c r="E56" s="5" t="s">
        <v>31</v>
      </c>
      <c r="F56" s="7" t="s">
        <v>256</v>
      </c>
      <c r="G56" s="5" t="s">
        <v>257</v>
      </c>
      <c r="H56" s="7" t="s">
        <v>263</v>
      </c>
      <c r="I56" s="34" t="s">
        <v>259</v>
      </c>
      <c r="J56" s="21">
        <v>0.3655</v>
      </c>
      <c r="K56" s="9">
        <v>113200.0</v>
      </c>
      <c r="L56" s="27"/>
      <c r="M56" s="28"/>
      <c r="N56" s="28"/>
      <c r="O56" s="28"/>
      <c r="P56" s="28"/>
      <c r="Q56" s="28"/>
      <c r="R56" s="28"/>
      <c r="S56" s="28"/>
      <c r="T56" s="28"/>
      <c r="U56" s="28"/>
      <c r="V56" s="29">
        <f>(10000+195)*4</f>
        <v>40780</v>
      </c>
      <c r="W56" s="29">
        <f>195*4</f>
        <v>780</v>
      </c>
      <c r="X56" s="13"/>
    </row>
  </sheetData>
  <dataValidations>
    <dataValidation type="list" allowBlank="1" showErrorMessage="1" sqref="G2:G56">
      <formula1>"Completed,Delivered,In Progress,On Hold,Cancel,Pending Customer"</formula1>
    </dataValidation>
    <dataValidation type="list" allowBlank="1" showErrorMessage="1" sqref="E2:E56">
      <formula1>"DIA,Broadband,EPL/PLL,IEPL,Eng Serv.,Managed Serv.,Eaas,Other"</formula1>
    </dataValidation>
    <dataValidation type="list" allowBlank="1" showErrorMessage="1" sqref="D2:D56">
      <formula1>"New Sales,Relocation,Upgrade,Downgrade"</formula1>
    </dataValidation>
    <dataValidation type="list" allowBlank="1" showErrorMessage="1" sqref="B2:B56">
      <formula1>"Airespring,Combridge,Connect2cloud,GTT,Iceblue,NTT,Singtel,CTAP,Zenlayer,Orange,NTTGN,Zenlayer ,CT MY"</formula1>
    </dataValidation>
  </dataValidations>
  <hyperlinks>
    <hyperlink r:id="rId1" ref="C54"/>
    <hyperlink r:id="rId2" ref="H54"/>
    <hyperlink r:id="rId3" ref="I54"/>
    <hyperlink r:id="rId4" ref="C55"/>
    <hyperlink r:id="rId5" ref="I55"/>
    <hyperlink r:id="rId6" ref="C56"/>
    <hyperlink r:id="rId7" ref="I56"/>
  </hyperlinks>
  <drawing r:id="rId8"/>
  <tableParts count="1">
    <tablePart r:id="rId10"/>
  </tableParts>
</worksheet>
</file>
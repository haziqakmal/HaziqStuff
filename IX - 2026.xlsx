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 &amp; Revenue" sheetId="1" r:id="rId5"/>
    <sheet state="visible" name="Renewal" sheetId="2" r:id="rId6"/>
    <sheet state="visible" name="Hotleads" sheetId="3" r:id="rId7"/>
  </sheets>
  <definedNames/>
  <calcPr/>
</workbook>
</file>

<file path=xl/sharedStrings.xml><?xml version="1.0" encoding="utf-8"?>
<sst xmlns="http://schemas.openxmlformats.org/spreadsheetml/2006/main" count="1163" uniqueCount="492">
  <si>
    <t>PKD</t>
  </si>
  <si>
    <t>Partner</t>
  </si>
  <si>
    <t>Customer</t>
  </si>
  <si>
    <t>Project</t>
  </si>
  <si>
    <t>Sales Type</t>
  </si>
  <si>
    <t>Services</t>
  </si>
  <si>
    <t>RFS Date</t>
  </si>
  <si>
    <t>Service</t>
  </si>
  <si>
    <t>Progress</t>
  </si>
  <si>
    <t>Opportunity</t>
  </si>
  <si>
    <t xml:space="preserve">👶 New Quotation </t>
  </si>
  <si>
    <t>Subject</t>
  </si>
  <si>
    <t>🧓 Old Quotation</t>
  </si>
  <si>
    <t>Status</t>
  </si>
  <si>
    <t>Business case</t>
  </si>
  <si>
    <t>GM [%]</t>
  </si>
  <si>
    <t>TCV (RM)</t>
  </si>
  <si>
    <t>Opportunity Status</t>
  </si>
  <si>
    <t>Type of Opp</t>
  </si>
  <si>
    <t>Months</t>
  </si>
  <si>
    <t>Jan</t>
  </si>
  <si>
    <t>OTC (USD)</t>
  </si>
  <si>
    <t>MRC (USD)</t>
  </si>
  <si>
    <t>Feb</t>
  </si>
  <si>
    <t>Mar</t>
  </si>
  <si>
    <t>Apr</t>
  </si>
  <si>
    <t>May</t>
  </si>
  <si>
    <t>CTAP</t>
  </si>
  <si>
    <t>Jun</t>
  </si>
  <si>
    <t>Jul</t>
  </si>
  <si>
    <t>Aug</t>
  </si>
  <si>
    <t>Sep</t>
  </si>
  <si>
    <t>Oct</t>
  </si>
  <si>
    <t>Connectivity</t>
  </si>
  <si>
    <t>Nov</t>
  </si>
  <si>
    <t>Dec</t>
  </si>
  <si>
    <t>OPP00023281</t>
  </si>
  <si>
    <t>Re: ELKL-2512-212 - IX (Cct GI000524)</t>
  </si>
  <si>
    <t>PKDIXS00000131</t>
  </si>
  <si>
    <t>Sent</t>
  </si>
  <si>
    <t>Quotation</t>
  </si>
  <si>
    <t>Combridge</t>
  </si>
  <si>
    <t>[Renewal] SRV0047401 - Uniper Singapore | Eaas and Sales in Singapore</t>
  </si>
  <si>
    <t>Renewal</t>
  </si>
  <si>
    <t>Closed - WON</t>
  </si>
  <si>
    <t>Upgrade</t>
  </si>
  <si>
    <t>Eaas</t>
  </si>
  <si>
    <t>Delivered</t>
  </si>
  <si>
    <t>QUO00004148</t>
  </si>
  <si>
    <t>QUO00004043</t>
  </si>
  <si>
    <t>IXS/2026/BC/00003743</t>
  </si>
  <si>
    <t>OPP00023466</t>
  </si>
  <si>
    <t>CPW08012026A CPW20022025A - IX Telecom</t>
  </si>
  <si>
    <t>Closed - LOST</t>
  </si>
  <si>
    <t>Last Year</t>
  </si>
  <si>
    <t>New Request</t>
  </si>
  <si>
    <t>PKDIXT0000001</t>
  </si>
  <si>
    <t>OPP00023562</t>
  </si>
  <si>
    <t>20817 RWE_SG_ZZM0005219_Singapore</t>
  </si>
  <si>
    <t>Last year project</t>
  </si>
  <si>
    <t>New Sales</t>
  </si>
  <si>
    <t>Professional Services</t>
  </si>
  <si>
    <t>DIA</t>
  </si>
  <si>
    <t>OPP00023593</t>
  </si>
  <si>
    <t>BMI Malayasia 13 sites Aruba Installations</t>
  </si>
  <si>
    <t>PKDIXT00004047</t>
  </si>
  <si>
    <t>Completed</t>
  </si>
  <si>
    <t>QUO00000001</t>
  </si>
  <si>
    <t>[Renewal] SRV0046947 - SRV0046100 - Covestro Jakarta | Eaas and Sales for QUO00001544</t>
  </si>
  <si>
    <t>Orange</t>
  </si>
  <si>
    <t>IXT/2025/BC/00000001</t>
  </si>
  <si>
    <t>OPP00023675</t>
  </si>
  <si>
    <t>New Addition / Adecco IT Services / HQ-MY-KUL-0002 / 200M VMS DIA / GO#10-1718539 / VMSI-92487</t>
  </si>
  <si>
    <t>QUO00005900</t>
  </si>
  <si>
    <t>QUO00001544</t>
  </si>
  <si>
    <t>IXT/2026/BC/00004708</t>
  </si>
  <si>
    <t>PKDIXS00000132</t>
  </si>
  <si>
    <t>[Renewal] SRV0046934 - SRV0046224 - Covestro Singapore | Eaas and Sales for QUO00001546</t>
  </si>
  <si>
    <t>QUO00004149</t>
  </si>
  <si>
    <t>QUO00001546</t>
  </si>
  <si>
    <t>IXS/2026/BC/00003744</t>
  </si>
  <si>
    <t>PKDIXT00004095</t>
  </si>
  <si>
    <t>[Renewal] SRV0047543 - Covestro MTP5 | Combridge - DIA 10M for Pangmuang Chapao 3-1 Road, Thailand</t>
  </si>
  <si>
    <t>QUO00005962</t>
  </si>
  <si>
    <t>QUO00005058</t>
  </si>
  <si>
    <t>IXT/2026/BC/00000026</t>
  </si>
  <si>
    <t>OPP00023676</t>
  </si>
  <si>
    <t>PKDIXT00003739</t>
  </si>
  <si>
    <t>New Addition / UPS Oasis Supply Corp / MYPNA / 20M VMS DIA / GO#10-1718908 / VMSI-75566</t>
  </si>
  <si>
    <t>PKDIXT00004094</t>
  </si>
  <si>
    <t>BMI - Sales and EaaS at Cyberjaya, Malaysia</t>
  </si>
  <si>
    <t>[Renewal] SRV0047560 - Covestro MTP4 | Combridge - DIA 10M for Muangmai Map Ta Phut Road,, Thailand</t>
  </si>
  <si>
    <t>QUO00005961</t>
  </si>
  <si>
    <t>QUO00005508</t>
  </si>
  <si>
    <t>QUO00005057</t>
  </si>
  <si>
    <t>IXT/2025/BC/00004355-3</t>
  </si>
  <si>
    <t>OPP00023692</t>
  </si>
  <si>
    <t>IXT/2026/BC/00000027</t>
  </si>
  <si>
    <t>SRV0047009: DELFORT Malaysia - sale and Eaas</t>
  </si>
  <si>
    <t>PKDIXS00000125</t>
  </si>
  <si>
    <t>Combridge SRV0046211 - Opella | Sales and Eaas for 3Y at Singapore</t>
  </si>
  <si>
    <t>QUO00004142</t>
  </si>
  <si>
    <t>IXS/2025/BC/00003737</t>
  </si>
  <si>
    <t>OPP00023788</t>
  </si>
  <si>
    <t>Pre Sales_Malaysia_2026-01-27_REQ_S564606_MYS_VMI_SingleAccess_190126_928476_IX TELECOM_VMI_AGILENT TECHNOLOGIES INC</t>
  </si>
  <si>
    <t>PKDIXS00000133</t>
  </si>
  <si>
    <t>[Renewal] SRV0046907 - Covestro Singapore SGPZ | Combridge - Eaas and Sales for QUO00001547</t>
  </si>
  <si>
    <t>PKDIXT00003759</t>
  </si>
  <si>
    <t>30M PLL in Indonesia 5Y</t>
  </si>
  <si>
    <t>EPL/PLL</t>
  </si>
  <si>
    <t>QUO00005507</t>
  </si>
  <si>
    <t>IXT/2025/BC/00004354-1</t>
  </si>
  <si>
    <t>QUO00004150</t>
  </si>
  <si>
    <t>OPP00021969</t>
  </si>
  <si>
    <t>QUO00001547</t>
  </si>
  <si>
    <t>Re: Nexperia - Apac query - urgent IXTelecom</t>
  </si>
  <si>
    <t>IXS/2026/BC/00003745</t>
  </si>
  <si>
    <t>Open - In Progress</t>
  </si>
  <si>
    <t>PKDIXT00003926</t>
  </si>
  <si>
    <t>Orange VMSI-92487 - Adecco IT Services | DIA 200M for 1Y at Menara Ecoworld, MY</t>
  </si>
  <si>
    <t>PKDIXS00000137</t>
  </si>
  <si>
    <t>[Renewal] Combridge SRV0047936 - Burkert Singapore SG | Eaas for 1Y at Tai Seng, SG</t>
  </si>
  <si>
    <t xml:space="preserve">	QUO00005780</t>
  </si>
  <si>
    <t>IXT/2026/BC/00004591-1</t>
  </si>
  <si>
    <t>QUO00004155</t>
  </si>
  <si>
    <t>QUO00004129</t>
  </si>
  <si>
    <t xml:space="preserve">XS/2026/BC/00003750 </t>
  </si>
  <si>
    <t>PKDIXT00003927</t>
  </si>
  <si>
    <t>OPP00023749</t>
  </si>
  <si>
    <t>Orange VMSI-75566 - UPS Oasis Supply Corporation | DIA 20M for 3Y at Bayan Lepas, MY</t>
  </si>
  <si>
    <t>In Progress</t>
  </si>
  <si>
    <t>QUO00005781</t>
  </si>
  <si>
    <t>PKDIXS00000138</t>
  </si>
  <si>
    <t>IXT/2026/BC/00004590-2</t>
  </si>
  <si>
    <t>[Renewal] Combridge SRV0047937 - Burkert Singapore SG | Eaas for 1Y at Penang, MY</t>
  </si>
  <si>
    <t>QUO00004156</t>
  </si>
  <si>
    <t>QUO00004036</t>
  </si>
  <si>
    <t xml:space="preserve">IXS/2026/BC/00003751 </t>
  </si>
  <si>
    <t>PKDIXS00000129</t>
  </si>
  <si>
    <t xml:space="preserve">Combridge SRV0046816 | Sales and Eaas for 5Y at Singapore </t>
  </si>
  <si>
    <t>OPP00023872</t>
  </si>
  <si>
    <t>ELKL-2512-212 - IX (GI000356)</t>
  </si>
  <si>
    <t>PKDIXS00000141</t>
  </si>
  <si>
    <t>QUO00004146</t>
  </si>
  <si>
    <t>IXS/2026/BC/00003741</t>
  </si>
  <si>
    <t>[Renewal] Combridge SRV0050014 - Lemo Singapore | Eaas for 1Y at SIS Building, SG [supersede QUO00004113]</t>
  </si>
  <si>
    <t>QUO00004159</t>
  </si>
  <si>
    <t>QUO00004113</t>
  </si>
  <si>
    <t>IXS/2026/BC/00003754</t>
  </si>
  <si>
    <t>OPP00023955</t>
  </si>
  <si>
    <t>Post-Sales_06Feb26_QN1_IX TELECOM_060226223026 | ASIANA AIRLINES INC.</t>
  </si>
  <si>
    <t>PKDIXT00004036</t>
  </si>
  <si>
    <t>Combridge SRV0047009 - DELFORT | Eaas and Sales for 5Y at Puchong, Malaysia</t>
  </si>
  <si>
    <t>OPP00024132</t>
  </si>
  <si>
    <t>PKDIXT00004669</t>
  </si>
  <si>
    <t>Post-Sales_20Feb26_QN1_IX TELECOM_200226100905</t>
  </si>
  <si>
    <t>QUO00005893</t>
  </si>
  <si>
    <t>IXT/2026/BC/00004703</t>
  </si>
  <si>
    <t>[Renewal - GI000409] Combridge SRV0050323-SEG0074192 - Besi Shah Alam | DIA 200M for 1Y via TM+IX</t>
  </si>
  <si>
    <t>PKDIXT00004034</t>
  </si>
  <si>
    <t>OPP00024200</t>
  </si>
  <si>
    <t>CIMB Malaysia</t>
  </si>
  <si>
    <t>Combridge - BMI Roofing Systems Sdn Bhd | Adhoc Installation at Dengkil [MYDEN1]</t>
  </si>
  <si>
    <t>Eng Serv.</t>
  </si>
  <si>
    <t>QUO00005897</t>
  </si>
  <si>
    <t>IXT/2026/BC/00004705</t>
  </si>
  <si>
    <t>OPP00023856</t>
  </si>
  <si>
    <t>GD#19640 - Quotation request: NEXPERIA Singapore - IX Telecom</t>
  </si>
  <si>
    <t>PKDIXT00004074</t>
  </si>
  <si>
    <t>OPP00024223</t>
  </si>
  <si>
    <t>Combridge - BMI Roofing Systems Sdn Bhd | Adhoc Installation at Tanjung Rambutan [MYBER1]</t>
  </si>
  <si>
    <t>Pre-Sales_25Nov25_QN1_IX TELECOM_251125102646 | HAPAG LLOYD AG</t>
  </si>
  <si>
    <t>QUO00005943</t>
  </si>
  <si>
    <t>IXT/2026/BC/00000007-1</t>
  </si>
  <si>
    <t>QUO00006516</t>
  </si>
  <si>
    <t>PKDIXT00004073</t>
  </si>
  <si>
    <t>Combridge - BMI Roofing Systems Sdn Bhd | Adhoc Installation at Simpang Renggam,Johor [MYMAC1]</t>
  </si>
  <si>
    <t>QUO00005944</t>
  </si>
  <si>
    <t>IXT/2026/BC/00000008-1</t>
  </si>
  <si>
    <t>PKDIXT00004072</t>
  </si>
  <si>
    <t>Combridge - BMI Roofing Systems Sdn Bhd | Adhoc Installation at Seremban, Malaysia [MYSER1]</t>
  </si>
  <si>
    <t>OPP00024240</t>
  </si>
  <si>
    <t>BCG Indonesia Jakarta CBLIA 000643 IX circuit ID: GI000515</t>
  </si>
  <si>
    <t>QUO00005945</t>
  </si>
  <si>
    <t>IXT/2026/BC/00000009</t>
  </si>
  <si>
    <t>IPKnowledge B.V</t>
  </si>
  <si>
    <t>QUO00005518</t>
  </si>
  <si>
    <t>OPP00024273</t>
  </si>
  <si>
    <t>IXT/2026/BC/00000605-1</t>
  </si>
  <si>
    <t>2282 centrient - indian sites</t>
  </si>
  <si>
    <t>PKDIXT00004082</t>
  </si>
  <si>
    <t>Combridge - BMI Roofing Systems Sdn Bhd | Adhoc Installation at Kota Bharu, Kelantan [MYKOT1]</t>
  </si>
  <si>
    <t>QUO00005952</t>
  </si>
  <si>
    <t>IXT/2026/BC/00000017</t>
  </si>
  <si>
    <t>OPP00024385</t>
  </si>
  <si>
    <t>Maybank EX1 DC</t>
  </si>
  <si>
    <t>PKDIXT00004091</t>
  </si>
  <si>
    <t>CTAP-Q-2026021000045 - Hewlett Packard Enterprise | Upgrade DIA 200M for 1Y at Taguig, Philippines via ETPI</t>
  </si>
  <si>
    <t>OPP00024418</t>
  </si>
  <si>
    <t>21662-GFPS | MY | Klang - Request for quote</t>
  </si>
  <si>
    <t>QUO00005877</t>
  </si>
  <si>
    <t>IXT/2026/BC/00004687</t>
  </si>
  <si>
    <t>OPP00024554</t>
  </si>
  <si>
    <t>ELA-2603-050 - IX</t>
  </si>
  <si>
    <t>PKDIXT00004092</t>
  </si>
  <si>
    <t>CTAP-Q-2026021000046 - Hewlett Packard Enterprise | Diverse DIA 200M for 1Y at Taguig, Philippines via PLDT</t>
  </si>
  <si>
    <t>QUO00005878</t>
  </si>
  <si>
    <t>IXT/2026/BC/00004688-1</t>
  </si>
  <si>
    <t>PKDIXT00004107</t>
  </si>
  <si>
    <t>Zenlayer</t>
  </si>
  <si>
    <t>Orange (VMSI-101525) - Agilent Technologies Inc | DIA 400M for 1Y at Bayan Lepas, Penang</t>
  </si>
  <si>
    <t>OPP00024511</t>
  </si>
  <si>
    <t>SQ07C#20260312-6_MYS 30M/50M/200M LL Request-IX Telecom</t>
  </si>
  <si>
    <t>QUO00005971</t>
  </si>
  <si>
    <t>IXT/2026/BC/00000036</t>
  </si>
  <si>
    <t>OPP00024305</t>
  </si>
  <si>
    <t>ELA-2403-040 - IX</t>
  </si>
  <si>
    <t>PKDIXT00004101</t>
  </si>
  <si>
    <t>Combridge - BMI Roofing Systems Sdn Bhd | Adhoc Installation at Skudai [MYSKU1]</t>
  </si>
  <si>
    <t>OPP00024811</t>
  </si>
  <si>
    <t>Confirm order_NTTGN Reference: 2456210339 - IX telecom - Malaysia -AOC</t>
  </si>
  <si>
    <t>QUO00005967</t>
  </si>
  <si>
    <t>IXT/2026/BC/00000035</t>
  </si>
  <si>
    <t>OPP00024667</t>
  </si>
  <si>
    <t>Nexperia New sites MY 21914</t>
  </si>
  <si>
    <t>PKDIXT00004102</t>
  </si>
  <si>
    <t>Combridge - BMI Roofing Systems Sdn Bhd | Adhoc Installation at Sungai Petani [MYSUN1]</t>
  </si>
  <si>
    <t>QUO00005968</t>
  </si>
  <si>
    <t>IXT/2026/BC/00000034</t>
  </si>
  <si>
    <t>GoMomentum</t>
  </si>
  <si>
    <t>OPP00024638</t>
  </si>
  <si>
    <t>Chi Minh City Vietnam Quote req</t>
  </si>
  <si>
    <t>PKDIXT00004103</t>
  </si>
  <si>
    <t>Combridge - BMI Roofing Systems Sdn Bhd | Adhoc Installation at Menara JKG [MYKUA1]</t>
  </si>
  <si>
    <t>QUO00005969</t>
  </si>
  <si>
    <t>IXT/2026/BC/00000033</t>
  </si>
  <si>
    <t>OPP00025094</t>
  </si>
  <si>
    <t>Local loop - AL202604YF500 - IX Telecom</t>
  </si>
  <si>
    <t>PKDIXT00004104</t>
  </si>
  <si>
    <t>Combridge - BMI Roofing Systems Sdn Bhd | Adhoc Installation at Yong Peng [MYYON1]</t>
  </si>
  <si>
    <t>QUO00005970</t>
  </si>
  <si>
    <t>IXT/2026/BC/00000032</t>
  </si>
  <si>
    <t>OPP00025102</t>
  </si>
  <si>
    <t>Nexperia Singapore sale and EaaS</t>
  </si>
  <si>
    <t>PKDIXT00004105</t>
  </si>
  <si>
    <t>Combridge - BMI Roofing Systems Sdn Bhd | Adhoc Installation at Ipoh [MYIPO1]</t>
  </si>
  <si>
    <t>QUO00005972</t>
  </si>
  <si>
    <t>IXT/2026/BC/00000037</t>
  </si>
  <si>
    <t>OPP00025103</t>
  </si>
  <si>
    <t>Nexperia Philipinnes sale and EaaS</t>
  </si>
  <si>
    <t>PKDIXS00000134</t>
  </si>
  <si>
    <t>CTAP-Q-2026021000081 - Bank OCBC BANDUNG - ASIA AFRIKA | EPL 200M for 1Y at Jakarta</t>
  </si>
  <si>
    <t>OPP00025104</t>
  </si>
  <si>
    <t>Nexperia Malaysia sale and EaaS</t>
  </si>
  <si>
    <t>QUO00004151</t>
  </si>
  <si>
    <t>IXS/2026/BC/00003746</t>
  </si>
  <si>
    <t>PKDIXT00004156</t>
  </si>
  <si>
    <t>CT MY</t>
  </si>
  <si>
    <t>OPP00024859 - Combridge: [MYRAW1] BMI Roofing Systems Sdn Bhd | Migration Work at Rawang, Selangor</t>
  </si>
  <si>
    <t>OPP00025325</t>
  </si>
  <si>
    <t>Request for quotation_ DIA_ LY202605003_ IX</t>
  </si>
  <si>
    <t>QUO00006023</t>
  </si>
  <si>
    <t>IXT/2026/BC/00000087</t>
  </si>
  <si>
    <t>OPP00024560</t>
  </si>
  <si>
    <t>PKDIXT00004157</t>
  </si>
  <si>
    <t>RE: ZJ260317-EPL Request MAY-IX</t>
  </si>
  <si>
    <t>OPP00024860 - Combridge: [MYSER1] BMI Roofing Systems Sdn Bhd | Migration Work at Seremban, Negeri Sembilan</t>
  </si>
  <si>
    <t>QUO00006024</t>
  </si>
  <si>
    <t>⁠IXT/2026/BC/00000088</t>
  </si>
  <si>
    <t>PKDIXT00004158</t>
  </si>
  <si>
    <t>OPP00024861 - Combridge: [MYBUK1] BMI Roofing Systems Sdn Bhd | Migration Work at Shah Alam, Malaysia</t>
  </si>
  <si>
    <t>QUO00006025</t>
  </si>
  <si>
    <t>⁠⁠IXT/2026/BC/00000089</t>
  </si>
  <si>
    <t>OPP00025560</t>
  </si>
  <si>
    <t>Post-Sales_25May26_QN1_IX TELECOM_250526111934</t>
  </si>
  <si>
    <t>PKDIXT00004159</t>
  </si>
  <si>
    <t>OPP00024861 - Combridge: [MYKUA1] BMI Roofing Systems Sdn Bhd | Migration Work at Jalan Raja Laut, Kuala Lumpur</t>
  </si>
  <si>
    <t>QUO00006026</t>
  </si>
  <si>
    <t>⁠⁠IXT/2026/BC/00000090</t>
  </si>
  <si>
    <t>OPP00025385</t>
  </si>
  <si>
    <t>Request for quotation_ DIA_ LY202605004_ IX</t>
  </si>
  <si>
    <t>PKDIXT00004222</t>
  </si>
  <si>
    <t>Combridge SRV0047874 - Nexperia | DIA 300M on 1Y at NTT DC, Cyberjaya [Primary]</t>
  </si>
  <si>
    <t>QUO00006048</t>
  </si>
  <si>
    <t>IXT/2026/BC/00000115-2</t>
  </si>
  <si>
    <t>Orient Telecom</t>
  </si>
  <si>
    <t>PKDIXT00004223</t>
  </si>
  <si>
    <t>OPP00025666</t>
  </si>
  <si>
    <t>ORT_URGENT_IOI CITY TOWER_03062026</t>
  </si>
  <si>
    <t>Combridge SRV0047875 - Nexperia | DIA 300M on 1Y at NTT DC, Cyberjaya [Secondary]</t>
  </si>
  <si>
    <t>QUO00006049</t>
  </si>
  <si>
    <t>IXT/2026/BC/00000116-3</t>
  </si>
  <si>
    <t>PKDIXT00004285</t>
  </si>
  <si>
    <t xml:space="preserve">OPP00025697 
OPP00025698 </t>
  </si>
  <si>
    <t>Combridge SRV0048015 - Nexperia [MY-SER01] | [Eaas] on 5Y at Seremban, MY</t>
  </si>
  <si>
    <t>QUO00006143</t>
  </si>
  <si>
    <t>IXT/2026/BC/00000213</t>
  </si>
  <si>
    <t>PKDIXT00004284</t>
  </si>
  <si>
    <t>Combridge SRV0047902 - Nexperia [AP-RDC01] | [Eaas] on 5Y at Cyberjaya, MY</t>
  </si>
  <si>
    <t>QUO00006144</t>
  </si>
  <si>
    <t>IXT/2026/BC/00000214</t>
  </si>
  <si>
    <t>OPP00025670</t>
  </si>
  <si>
    <t>ORT_QUERY_DORMAKABA_03062026</t>
  </si>
  <si>
    <t>PKDIXT00004286</t>
  </si>
  <si>
    <t>Combridge SRV0048097 - Nexperia [MY-SHA02] | [Eaas] on 5Y at Shah Alam, MY</t>
  </si>
  <si>
    <t>QUO00006145</t>
  </si>
  <si>
    <t>IXT/2026/BC/00000215</t>
  </si>
  <si>
    <t>PKDIXS00000136</t>
  </si>
  <si>
    <t>Combridge SRV0047820 - Nexperia [SGP-RC] | [Eaas] on 5Y at Tai Seng Drive, Singapore</t>
  </si>
  <si>
    <t>QUO00004153</t>
  </si>
  <si>
    <t>IXS/2026/BC/00003748</t>
  </si>
  <si>
    <t>OPP00025745</t>
  </si>
  <si>
    <t>GD#19640 - Request for offer: Nexperia MY-SHA01 - IX Telecom</t>
  </si>
  <si>
    <t>PKDIXS00000135</t>
  </si>
  <si>
    <t>Combridge SRV0047819 - Nexperia [SGP-DLR | [Eaas] on 5Y at International Business Park, Singapore</t>
  </si>
  <si>
    <t>QUO00004154</t>
  </si>
  <si>
    <t>IXS/2026/BC/00003749</t>
  </si>
  <si>
    <t>PKDIXT00004410</t>
  </si>
  <si>
    <t>Combridge SRV0047850 - Nexperia PH | [DIA] 200M on 5Y at Philips Avenue, Philippines</t>
  </si>
  <si>
    <t>QUO00006220</t>
  </si>
  <si>
    <t>IXT/2026/BC/00000305-7</t>
  </si>
  <si>
    <t>CTG - Enterprise</t>
  </si>
  <si>
    <t>OPP00025832</t>
  </si>
  <si>
    <t>Re: DFI Final quotation IX (Re: DFI Final Quotation IX)</t>
  </si>
  <si>
    <t>PKDIXT00004420</t>
  </si>
  <si>
    <t>NTTGN</t>
  </si>
  <si>
    <t>NTTGN [CI-CMYJOH26-1 / W260000327] - ASM | DIA 100M for 3Y at Gelang Patah, Johor</t>
  </si>
  <si>
    <t>QUO00006270</t>
  </si>
  <si>
    <t>IXT/2026/BC/00000368</t>
  </si>
  <si>
    <t>OPP00025854 
OPP00025855</t>
  </si>
  <si>
    <t>Nexperia Singapore DC LAN equipment query 22251</t>
  </si>
  <si>
    <t>PKDIXT00004444</t>
  </si>
  <si>
    <t xml:space="preserve">Orange - Lite-79031 | [XC-Relocation] at CSF and CJ1 for GI000783 / LDA15055 </t>
  </si>
  <si>
    <t>Relocation</t>
  </si>
  <si>
    <t>Other</t>
  </si>
  <si>
    <t>Others</t>
  </si>
  <si>
    <t>OPP00023945</t>
  </si>
  <si>
    <t>21187- Anfrage für weiter PSU für S-Boxen</t>
  </si>
  <si>
    <t>QUO00006280</t>
  </si>
  <si>
    <t>IXT/2026/BC/00000358</t>
  </si>
  <si>
    <t>PKDIXT00004493</t>
  </si>
  <si>
    <t>Combridge SRV0048993 - George Fischer (M) Sdn. Bhd. | Eaas and Sales for 5Y at Klang, MY</t>
  </si>
  <si>
    <t>QUO00006322</t>
  </si>
  <si>
    <t>IXT/2026/BC/00000406</t>
  </si>
  <si>
    <t>OPP00026017</t>
  </si>
  <si>
    <t>Pre-Sales_23Jun26_QN1_IX TELECOM_230626112625 | HAPAG LLOYD AG</t>
  </si>
  <si>
    <t>OPP00026037</t>
  </si>
  <si>
    <t>Nexperia Cisco WLAN Malaysia</t>
  </si>
  <si>
    <t>OPP00026065</t>
  </si>
  <si>
    <t>Post-Sales_25Jun26_QN1_IX TELECOM_250626170337 | RS Components Ltd</t>
  </si>
  <si>
    <t>ELL-2606-136 - IX cct GI000524</t>
  </si>
  <si>
    <t>OPP00025970</t>
  </si>
  <si>
    <t>CPW18062026A - IX</t>
  </si>
  <si>
    <t>PKDIXS00000139</t>
  </si>
  <si>
    <t>Combridge SRV0048991 - BMW Singapore | Eaas and Sales for CAB-PWR-C13C14-2M and EC-S-P-PSU-AC</t>
  </si>
  <si>
    <t>NTT Global</t>
  </si>
  <si>
    <t>QUO00004157</t>
  </si>
  <si>
    <t>OPP00026321</t>
  </si>
  <si>
    <t>Urgent support required in connecting the circuit AOC</t>
  </si>
  <si>
    <t>IXS/2026/BC/00003752</t>
  </si>
  <si>
    <t>OPP00026051</t>
  </si>
  <si>
    <t>Request for quotation_ DIA _ LY202606007 IX</t>
  </si>
  <si>
    <t>PKDIXT00004509</t>
  </si>
  <si>
    <t>Combridge SRV0048095 - Nexperia SA | DIA 100M (Primary) on 5Y at Bukit Kemuning, Selangor via TM+IX</t>
  </si>
  <si>
    <t>QUO00006343</t>
  </si>
  <si>
    <t>IXT/2026/BC/00000428</t>
  </si>
  <si>
    <t>PKDIXT00004510</t>
  </si>
  <si>
    <t>Combridge SRV0048096 - Nexperia SA | DIA 100M (Secondary) on 5Y at Bukit Kemuning, Selangor via TM Resell</t>
  </si>
  <si>
    <t>OPP00026336</t>
  </si>
  <si>
    <t>QUO00006344</t>
  </si>
  <si>
    <t xml:space="preserve">IXT/2026/BC/00000429 </t>
  </si>
  <si>
    <t>Pre-Sales_17Jun26_QN1_IX TELECOM_170626095718</t>
  </si>
  <si>
    <t>PKDIXT00004534</t>
  </si>
  <si>
    <t>CTMY-Q-2026061000011 - ICBC | IEPL 10M on 3Y from Menara Maxis -&gt; Raffles Quay</t>
  </si>
  <si>
    <t>IEPL</t>
  </si>
  <si>
    <t>QUO00006355</t>
  </si>
  <si>
    <t>IXT/2026/BC/00000457</t>
  </si>
  <si>
    <t>OPP00026446</t>
  </si>
  <si>
    <t>[IX Telecom] Upgrade of Existing circuit | 300M &amp; 400M | KK20260720-PH-DIA-KN</t>
  </si>
  <si>
    <t>PKDIXT00004418</t>
  </si>
  <si>
    <t>Orange FI88726999 - Hapag Lloyd AG | DIA 500M for 1Y at The Capitol, KL</t>
  </si>
  <si>
    <t>QUO00006142</t>
  </si>
  <si>
    <t>IXT/2026/BC/00000211-3</t>
  </si>
  <si>
    <t>OPP00026379</t>
  </si>
  <si>
    <t>SQ07C#20260715-6_MYS 100M/200M LL-IX Telecom</t>
  </si>
  <si>
    <t>PKDIXT00004574</t>
  </si>
  <si>
    <t xml:space="preserve">Combridge SRV0049462-SEG0072746  - Hannover Rueck SE | Eaas for 4Y at Mercu 2, MY        </t>
  </si>
  <si>
    <t>QUO00006413</t>
  </si>
  <si>
    <t>IXT/2026/BC/00000506</t>
  </si>
  <si>
    <t>OPP00026767
OPP00026768</t>
  </si>
  <si>
    <t>GD#21765 SRV0049599, SRV0049600 H&amp;R Malaysia resale and EaaS</t>
  </si>
  <si>
    <t>OPP00026618</t>
  </si>
  <si>
    <t>FT20250905_MAY EPL[IX]</t>
  </si>
  <si>
    <t>OPP00024245</t>
  </si>
  <si>
    <t>PKDIXT00004609</t>
  </si>
  <si>
    <t>RE: CSCC_260090 (CSCC_260386) / Invitation to Participate - Global APAC Office Connectivity Pricing &amp; Solution / IXT</t>
  </si>
  <si>
    <t>CTMY-Q-2026081000015 - Ningbo Deye Technology Co., Ltd | DIA 100M on 3Y at Tebrau, Johor</t>
  </si>
  <si>
    <t>QUO00006399</t>
  </si>
  <si>
    <t>IXT/2026/BC/00000494</t>
  </si>
  <si>
    <t>OPP00025572</t>
  </si>
  <si>
    <t>RE: Request for quotation_ DIA renewal _ LY202605012/ LY202608010</t>
  </si>
  <si>
    <t>PKDIXT00004630</t>
  </si>
  <si>
    <t>Combridge SRV0049599 - H&amp;R Malaysia | Eaas for 4Y at Lumut Port</t>
  </si>
  <si>
    <t>QUO00006457</t>
  </si>
  <si>
    <t>IXT/2026/BC/00000550-1</t>
  </si>
  <si>
    <t>RE: ELA-2603-050 - IX - CTAP-Q-2026041000188</t>
  </si>
  <si>
    <t>OPP00026496</t>
  </si>
  <si>
    <t>[IX] Malaysia DIA | 30M 100M | KK20260723-MY-DIA-KK</t>
  </si>
  <si>
    <t>PKDIXT00004631</t>
  </si>
  <si>
    <t>Combridge SRV0049600 - H&amp;R Malaysia | Eaas for 4Y at Kawasan Industri Batu Caves, MY</t>
  </si>
  <si>
    <t>OPP00026714</t>
  </si>
  <si>
    <t>Request for quotation_ DIA _ LY202608007_ IX</t>
  </si>
  <si>
    <t>QUO00006458</t>
  </si>
  <si>
    <t>IXT/2026/BC/00000551</t>
  </si>
  <si>
    <t>11:11 System</t>
  </si>
  <si>
    <t>OPP00026964</t>
  </si>
  <si>
    <t>EMEA/APAC RFP | CQ-2343</t>
  </si>
  <si>
    <t>PKDIXT00004617</t>
  </si>
  <si>
    <t>Combridge SRV0050112 - Draexlmeier Malaysia | Eaas for 4Y at Kedah EVE Industrial Park, MY</t>
  </si>
  <si>
    <t>OPP00026519</t>
  </si>
  <si>
    <t>CPW27072026A - IX</t>
  </si>
  <si>
    <t>QUO00006466</t>
  </si>
  <si>
    <t>IXT/2026/BC/00000559</t>
  </si>
  <si>
    <t>OPP00027168</t>
  </si>
  <si>
    <t>ELC-2607-145 - IX Telecom</t>
  </si>
  <si>
    <t>PKDIXT00004639</t>
  </si>
  <si>
    <t>Combridge SRV0049700 - Shell DR Malaysia | Eaas for 4Y at Shah Alam, MY</t>
  </si>
  <si>
    <t>OPP00025689</t>
  </si>
  <si>
    <t>RE: Very urgent_NTTGN Reference: 2472756479 - IX Telecom Sdn Bhd - Malaysia - 06-02-2026 AOC</t>
  </si>
  <si>
    <t>QUO00006487</t>
  </si>
  <si>
    <t xml:space="preserve">IXT/2026/BC/00000578 </t>
  </si>
  <si>
    <t>OPP00027192</t>
  </si>
  <si>
    <t>OPP ID 029726 MY - LL - IX</t>
  </si>
  <si>
    <t>OPP00027068</t>
  </si>
  <si>
    <t>NTTGN Reference: 2481540878 - IX Telecom Sdn Bhd - Malaysia - 08-31-2026 AOC</t>
  </si>
  <si>
    <t>PKDIXT00004640</t>
  </si>
  <si>
    <t>Combridge SRV0049702 - Shell DR Malaysia | Eaas for 4Y at Petaling Jaya, MY</t>
  </si>
  <si>
    <t>Managed Connectivity</t>
  </si>
  <si>
    <t>QUO00006488</t>
  </si>
  <si>
    <t>August 19,2026_ Minutes of the Meeting _Nexperia Philippines_DIA New Circuit Requirement</t>
  </si>
  <si>
    <t>IXT/2026/BC/00000579</t>
  </si>
  <si>
    <t>Open - Pending</t>
  </si>
  <si>
    <t>OPP00026838</t>
  </si>
  <si>
    <t>Re: Nexperia Malaysia local HW request 23479 - Fortinet</t>
  </si>
  <si>
    <t>PKDIXT00004641</t>
  </si>
  <si>
    <t>Orange - PLL CSF and CJ1  with XC at CSF for GI000783 via IX</t>
  </si>
  <si>
    <t>QUO00006449</t>
  </si>
  <si>
    <t>IXT/2026/BC/00000542-1</t>
  </si>
  <si>
    <t>Re: Nexperia Malaysia local HW request 23479 - Avocent</t>
  </si>
  <si>
    <t>PKDIXT00004658</t>
  </si>
  <si>
    <t>Combridge SRV0050286 - Nexperia MY-SHA02 | IHW at Bukit Kemuning, Selangor [Primary &amp; Secondary]</t>
  </si>
  <si>
    <t>QUO00006511</t>
  </si>
  <si>
    <t>IXT/2026/BC/00000598</t>
  </si>
  <si>
    <t>Re: Nexperia Malaysia local HW request 23479 - Juniper</t>
  </si>
  <si>
    <t>PKDIXT00004672</t>
  </si>
  <si>
    <t>OPP00027269</t>
  </si>
  <si>
    <t>Post-Sales_17Sep26_QN1_IX TELECOM_170926142158 | AVERY DENNISON CORPORATION</t>
  </si>
  <si>
    <t>Closed</t>
  </si>
  <si>
    <t>Combridge  SRV0050257 - Nexperia MY | Eaas for 5Y at Bandar Glenmarie, Selangor [MY-SHA01]</t>
  </si>
  <si>
    <t>No bid</t>
  </si>
  <si>
    <t>QUO00006517</t>
  </si>
  <si>
    <t>IXT/2026/BC/00000604</t>
  </si>
  <si>
    <t>IPTP</t>
  </si>
  <si>
    <t>Engineering Services</t>
  </si>
  <si>
    <t>OPP00027284</t>
  </si>
  <si>
    <t>[IPTP] OPP00027284 - RH for device replacement in Malaysia</t>
  </si>
  <si>
    <t>OPP00027329</t>
  </si>
  <si>
    <t>23946- GFPS Karawang (ID) - Juniper wireless Access points</t>
  </si>
  <si>
    <t>PKDIXT00004670</t>
  </si>
  <si>
    <t>Combridge SRV0050381 -Nexperia MY | Eaas for Juniper for 5Y at Seremban</t>
  </si>
  <si>
    <t>Nexperia - Bukit Kemuning</t>
  </si>
  <si>
    <t>QUO00006498</t>
  </si>
  <si>
    <t>IXT/2026/BC/00000614</t>
  </si>
  <si>
    <t>PKDIXT00004671</t>
  </si>
  <si>
    <t>Combridge SRV0050380  - Nexperia MY | Eaas for Fortigate for 5Y at Seremban</t>
  </si>
  <si>
    <t>QUO00006499</t>
  </si>
  <si>
    <t>IXT/2026/BC/00000613</t>
  </si>
  <si>
    <t>PKDIXT00004673</t>
  </si>
  <si>
    <t>Combridge SRV0049705 - Shell Thailand Bangkok | Eaas for 4Y at Nonthaburi, Bangkok</t>
  </si>
  <si>
    <t>QUO00006524</t>
  </si>
  <si>
    <t>IXT/2026/BC/00000616</t>
  </si>
  <si>
    <t>PKDIXT00004674</t>
  </si>
  <si>
    <t>Combridge SRV0049706 - Shell Thailand Samut Prakan | Eaas for 4Y at Samut Prakan, Thailand</t>
  </si>
  <si>
    <t>QUO00006525</t>
  </si>
  <si>
    <t>IXT/2026/BC/00000615</t>
  </si>
  <si>
    <t>Nexperia MY | Eaas for Avocent for 5Y at Seremban</t>
  </si>
  <si>
    <t>Pending Customer</t>
  </si>
  <si>
    <t>QUO00006502</t>
  </si>
  <si>
    <t>IXT/2026/BC/00000612</t>
  </si>
  <si>
    <t>CTAP-Q-2026101000002 - OCBC | [Upgrade - GI000663] EPL 10M on 2Y at Financial Park Labuan</t>
  </si>
  <si>
    <t>QUO00006527</t>
  </si>
  <si>
    <t>IXT/2026/BC/00000619-1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</si>
</sst>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[$RM ]#,##0.00"/>
    <numFmt numFmtId="166" formatCode="M/d/yyyy"/>
    <numFmt numFmtId="167" formatCode="_(&quot;$&quot;* #,##0.00_);_(&quot;$&quot;* \(#,##0.00\);_(&quot;$&quot;* &quot;-&quot;??_);_(@_)"/>
  </numFmts>
  <fonts count="12">
    <font>
      <sz val="10.0"/>
      <color rgb="FF000000"/>
      <name val="Arial"/>
      <scheme val="minor"/>
    </font>
    <font>
      <b/>
      <color rgb="FFFFFFFF"/>
      <name val="Arial"/>
    </font>
    <font>
      <color rgb="FFFFFFFF"/>
      <name val="Barlow"/>
    </font>
    <font>
      <sz val="9.0"/>
      <color theme="1"/>
      <name val="Barlow"/>
    </font>
    <font>
      <color theme="1"/>
      <name val="Arial"/>
    </font>
    <font>
      <color theme="1"/>
      <name val="Barlow"/>
    </font>
    <font>
      <color rgb="FFFF00FF"/>
      <name val="Barlow"/>
    </font>
    <font>
      <u/>
      <color rgb="FF1155CC"/>
      <name val="Arial"/>
    </font>
    <font>
      <u/>
      <color rgb="FF1155CC"/>
      <name val="Arial"/>
    </font>
    <font>
      <color theme="1"/>
      <name val="Arial"/>
      <scheme val="minor"/>
    </font>
    <font>
      <u/>
      <color rgb="FF0000FF"/>
      <name val="Barlow"/>
    </font>
    <font>
      <u/>
      <color rgb="FF0000FF"/>
      <name val="Barlow"/>
    </font>
  </fonts>
  <fills count="6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3">
    <border/>
    <border>
      <left style="medium">
        <color rgb="FF000000"/>
      </lef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readingOrder="0" shrinkToFit="0" wrapText="0"/>
    </xf>
    <xf borderId="0" fillId="2" fontId="2" numFmtId="0" xfId="0" applyAlignment="1" applyFill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1" fillId="2" fontId="2" numFmtId="0" xfId="0" applyAlignment="1" applyBorder="1" applyFill="1" applyFont="1">
      <alignment horizontal="center" vertical="bottom"/>
    </xf>
    <xf borderId="0" fillId="0" fontId="4" numFmtId="164" xfId="0" applyAlignment="1" applyFont="1" applyNumberFormat="1">
      <alignment horizontal="center" readingOrder="0" vertical="bottom"/>
    </xf>
    <xf borderId="2" fillId="0" fontId="4" numFmtId="4" xfId="0" applyAlignment="1" applyBorder="1" applyFont="1" applyNumberFormat="1">
      <alignment horizontal="right" vertical="bottom"/>
    </xf>
    <xf borderId="0" fillId="0" fontId="4" numFmtId="4" xfId="0" applyAlignment="1" applyFont="1" applyNumberFormat="1">
      <alignment horizontal="right" readingOrder="0" vertical="bottom"/>
    </xf>
    <xf borderId="0" fillId="3" fontId="4" numFmtId="0" xfId="0" applyAlignment="1" applyFill="1" applyFont="1">
      <alignment horizontal="center" vertical="bottom"/>
    </xf>
    <xf borderId="0" fillId="0" fontId="4" numFmtId="10" xfId="0" applyAlignment="1" applyFont="1" applyNumberFormat="1">
      <alignment horizontal="center" vertical="bottom"/>
    </xf>
    <xf borderId="0" fillId="0" fontId="4" numFmtId="4" xfId="0" applyAlignment="1" applyFont="1" applyNumberFormat="1">
      <alignment horizontal="center" vertical="bottom"/>
    </xf>
    <xf borderId="0" fillId="0" fontId="5" numFmtId="0" xfId="0" applyAlignment="1" applyFont="1">
      <alignment vertical="bottom"/>
    </xf>
    <xf borderId="1" fillId="0" fontId="4" numFmtId="165" xfId="0" applyAlignment="1" applyBorder="1" applyFont="1" applyNumberFormat="1">
      <alignment horizontal="right" readingOrder="0" vertical="bottom"/>
    </xf>
    <xf borderId="0" fillId="0" fontId="4" numFmtId="165" xfId="0" applyAlignment="1" applyFont="1" applyNumberFormat="1">
      <alignment horizontal="right" readingOrder="0" vertical="bottom"/>
    </xf>
    <xf borderId="0" fillId="0" fontId="4" numFmtId="4" xfId="0" applyAlignment="1" applyFont="1" applyNumberFormat="1">
      <alignment horizontal="right" vertical="bottom"/>
    </xf>
    <xf borderId="0" fillId="4" fontId="5" numFmtId="0" xfId="0" applyAlignment="1" applyFill="1" applyFont="1">
      <alignment horizontal="center" readingOrder="0" vertical="bottom"/>
    </xf>
    <xf borderId="0" fillId="4" fontId="5" numFmtId="0" xfId="0" applyAlignment="1" applyFill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4" numFmtId="165" xfId="0" applyAlignment="1" applyFont="1" applyNumberFormat="1">
      <alignment horizontal="right" vertical="bottom"/>
    </xf>
    <xf borderId="0" fillId="4" fontId="5" numFmtId="166" xfId="0" applyAlignment="1" applyFill="1" applyFont="1" applyNumberFormat="1">
      <alignment horizontal="center" readingOrder="0" vertical="bottom"/>
    </xf>
    <xf borderId="0" fillId="4" fontId="5" numFmtId="10" xfId="0" applyAlignment="1" applyFill="1" applyFont="1" applyNumberFormat="1">
      <alignment horizontal="center" readingOrder="0" vertical="bottom"/>
    </xf>
    <xf borderId="0" fillId="4" fontId="5" numFmtId="4" xfId="0" applyAlignment="1" applyFill="1" applyFont="1" applyNumberFormat="1">
      <alignment horizontal="right" readingOrder="0" vertical="bottom"/>
    </xf>
    <xf borderId="1" fillId="4" fontId="6" numFmtId="4" xfId="0" applyAlignment="1" applyBorder="1" applyFill="1" applyFont="1" applyNumberFormat="1">
      <alignment readingOrder="0" vertical="bottom"/>
    </xf>
    <xf borderId="0" fillId="4" fontId="6" numFmtId="4" xfId="0" applyAlignment="1" applyFill="1" applyFont="1" applyNumberFormat="1">
      <alignment readingOrder="0" vertical="bottom"/>
    </xf>
    <xf borderId="0" fillId="4" fontId="6" numFmtId="4" xfId="0" applyAlignment="1" applyFill="1" applyFont="1" applyNumberFormat="1">
      <alignment horizontal="center" readingOrder="0" vertical="bottom"/>
    </xf>
    <xf borderId="0" fillId="0" fontId="5" numFmtId="167" xfId="0" applyAlignment="1" applyFont="1" applyNumberFormat="1">
      <alignment vertical="bottom"/>
    </xf>
    <xf borderId="1" fillId="4" fontId="5" numFmtId="4" xfId="0" applyAlignment="1" applyBorder="1" applyFill="1" applyFont="1" applyNumberFormat="1">
      <alignment readingOrder="0" vertical="bottom"/>
    </xf>
    <xf borderId="0" fillId="4" fontId="5" numFmtId="4" xfId="0" applyAlignment="1" applyFill="1" applyFont="1" applyNumberFormat="1">
      <alignment readingOrder="0" vertical="bottom"/>
    </xf>
    <xf borderId="0" fillId="0" fontId="6" numFmtId="4" xfId="0" applyAlignment="1" applyFont="1" applyNumberFormat="1">
      <alignment horizontal="center" vertical="bottom"/>
    </xf>
    <xf borderId="0" fillId="0" fontId="5" numFmtId="0" xfId="0" applyAlignment="1" applyFont="1">
      <alignment readingOrder="0" vertical="bottom"/>
    </xf>
    <xf borderId="0" fillId="4" fontId="5" numFmtId="4" xfId="0" applyAlignment="1" applyFill="1" applyFont="1" applyNumberFormat="1">
      <alignment horizontal="right" vertical="bottom"/>
    </xf>
    <xf borderId="0" fillId="4" fontId="6" numFmtId="4" xfId="0" applyAlignment="1" applyFill="1" applyFont="1" applyNumberFormat="1">
      <alignment vertical="bottom"/>
    </xf>
    <xf borderId="0" fillId="4" fontId="6" numFmtId="4" xfId="0" applyAlignment="1" applyFill="1" applyFont="1" applyNumberFormat="1">
      <alignment horizontal="center" vertical="bottom"/>
    </xf>
    <xf borderId="0" fillId="4" fontId="5" numFmtId="4" xfId="0" applyAlignment="1" applyFill="1" applyFont="1" applyNumberFormat="1">
      <alignment horizontal="center" readingOrder="0" vertical="bottom"/>
    </xf>
    <xf borderId="2" fillId="0" fontId="4" numFmtId="4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4" numFmtId="164" xfId="0" applyAlignment="1" applyFont="1" applyNumberFormat="1">
      <alignment horizontal="center" vertical="bottom"/>
    </xf>
    <xf borderId="0" fillId="0" fontId="6" numFmtId="4" xfId="0" applyAlignment="1" applyFont="1" applyNumberFormat="1">
      <alignment horizontal="center" readingOrder="0" vertical="bottom"/>
    </xf>
    <xf borderId="0" fillId="0" fontId="6" numFmtId="4" xfId="0" applyAlignment="1" applyFont="1" applyNumberFormat="1">
      <alignment readingOrder="0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/>
    </xf>
    <xf borderId="0" fillId="5" fontId="4" numFmtId="0" xfId="0" applyAlignment="1" applyFill="1" applyFont="1">
      <alignment horizontal="center" readingOrder="0" vertical="bottom"/>
    </xf>
    <xf borderId="0" fillId="4" fontId="5" numFmtId="4" xfId="0" applyAlignment="1" applyFill="1" applyFont="1" applyNumberFormat="1">
      <alignment horizontal="center" vertical="bottom"/>
    </xf>
    <xf borderId="0" fillId="5" fontId="4" numFmtId="0" xfId="0" applyAlignment="1" applyFill="1" applyFont="1">
      <alignment readingOrder="0" vertical="bottom"/>
    </xf>
    <xf borderId="0" fillId="4" fontId="5" numFmtId="0" xfId="0" applyAlignment="1" applyFill="1" applyFont="1">
      <alignment horizontal="center" readingOrder="0" vertical="bottom"/>
    </xf>
    <xf borderId="0" fillId="4" fontId="4" numFmtId="0" xfId="0" applyAlignment="1" applyFill="1" applyFont="1">
      <alignment horizontal="center" readingOrder="0" vertical="bottom"/>
    </xf>
    <xf borderId="0" fillId="4" fontId="4" numFmtId="0" xfId="0" applyAlignment="1" applyFill="1" applyFont="1">
      <alignment readingOrder="0" vertical="bottom"/>
    </xf>
    <xf borderId="2" fillId="4" fontId="4" numFmtId="4" xfId="0" applyAlignment="1" applyBorder="1" applyFill="1" applyFont="1" applyNumberFormat="1">
      <alignment horizontal="right" vertical="bottom"/>
    </xf>
    <xf borderId="0" fillId="4" fontId="4" numFmtId="4" xfId="0" applyAlignment="1" applyFill="1" applyFont="1" applyNumberFormat="1">
      <alignment horizontal="right" vertical="bottom"/>
    </xf>
    <xf borderId="2" fillId="4" fontId="4" numFmtId="4" xfId="0" applyAlignment="1" applyBorder="1" applyFill="1" applyFont="1" applyNumberFormat="1">
      <alignment horizontal="right" readingOrder="0" vertical="bottom"/>
    </xf>
    <xf borderId="0" fillId="4" fontId="5" numFmtId="0" xfId="0" applyAlignment="1" applyFill="1" applyFont="1">
      <alignment horizontal="center" vertical="bottom"/>
    </xf>
    <xf borderId="0" fillId="4" fontId="10" numFmtId="0" xfId="0" applyAlignment="1" applyFill="1" applyFont="1">
      <alignment readingOrder="0" vertical="bottom"/>
    </xf>
    <xf borderId="0" fillId="4" fontId="11" numFmtId="0" xfId="0" applyAlignment="1" applyFill="1" applyFont="1">
      <alignment horizontal="center" readingOrder="0" vertical="bottom"/>
    </xf>
    <xf borderId="0" fillId="4" fontId="5" numFmtId="0" xfId="0" applyAlignment="1" applyFill="1" applyFont="1">
      <alignment readingOrder="0" vertical="bottom"/>
    </xf>
    <xf borderId="0" fillId="0" fontId="2" numFmtId="0" xfId="0" applyAlignment="1" applyFont="1">
      <alignment horizontal="left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>
        <b/>
        <color rgb="FFFF00FF"/>
      </font>
      <fill>
        <patternFill patternType="solid">
          <fgColor rgb="FF00FFFF"/>
          <bgColor rgb="FF00FFFF"/>
        </patternFill>
      </fill>
      <border/>
    </dxf>
    <dxf>
      <font>
        <b/>
        <color rgb="FFFF00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2" pivot="0" name="Proj &amp; Revenu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:X59" displayName="Table_1" name="Table_1" id="1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Proj &amp; Reven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rm.ixtelecom.net/requirements/a2c64673-6603-4aea-ac5e-ffb9fb80c3b2/edit" TargetMode="External"/><Relationship Id="rId2" Type="http://schemas.openxmlformats.org/officeDocument/2006/relationships/hyperlink" Target="https://api.crm.ixtelecom.net/conventional-quotation/01a0b3eb-ce5b-7106-af1d-7d335538fc4a/download" TargetMode="External"/><Relationship Id="rId3" Type="http://schemas.openxmlformats.org/officeDocument/2006/relationships/hyperlink" Target="https://bc.ixtelecom.net/business-cases/01a0b3eb-ce73-729b-b7bd-43ebffca34a5/view" TargetMode="External"/><Relationship Id="rId4" Type="http://schemas.openxmlformats.org/officeDocument/2006/relationships/hyperlink" Target="https://crm.ixtelecom.net/requirements/a2c647be-f5e5-4fb3-8386-53900d2e1b0a/edit" TargetMode="External"/><Relationship Id="rId10" Type="http://schemas.openxmlformats.org/officeDocument/2006/relationships/table" Target="../tables/table1.xml"/><Relationship Id="rId5" Type="http://schemas.openxmlformats.org/officeDocument/2006/relationships/hyperlink" Target="https://bc.ixtelecom.net/business-cases/01a0c1b9-1284-7157-a62f-2b278984250e/view" TargetMode="External"/><Relationship Id="rId6" Type="http://schemas.openxmlformats.org/officeDocument/2006/relationships/hyperlink" Target="https://crm.ixtelecom.net/requirements/a2c647f8-a805-48cf-8da2-81ded1fd4112/edit" TargetMode="External"/><Relationship Id="rId7" Type="http://schemas.openxmlformats.org/officeDocument/2006/relationships/hyperlink" Target="https://bc.ixtelecom.net/business-cases/01a0c1d7-9aab-70d3-b227-5ca78907721f/view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ail.google.com/mail/u/0/?tab=rm&amp;ogbl" TargetMode="External"/><Relationship Id="rId2" Type="http://schemas.openxmlformats.org/officeDocument/2006/relationships/hyperlink" Target="https://crm.ixtelecom.net/quotations/01a0d640-2091-730f-a3ee-421ea3f3b4ed/edit" TargetMode="External"/><Relationship Id="rId3" Type="http://schemas.openxmlformats.org/officeDocument/2006/relationships/hyperlink" Target="https://bc.ixtelecom.net/business-cases/01a0d640-20ae-73e7-b36e-e9a44869f823/view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23.38"/>
    <col customWidth="1" min="3" max="3" width="16.75"/>
    <col customWidth="1" min="4" max="4" width="88.63"/>
    <col customWidth="1" min="5" max="5" width="14.0"/>
    <col customWidth="1" min="6" max="6" width="20.75"/>
    <col customWidth="1" min="7" max="7" width="13.0"/>
    <col customWidth="1" min="8" max="8" width="19.13"/>
    <col customWidth="1" min="9" max="9" width="11.63"/>
    <col customWidth="1" min="10" max="10" width="21.0"/>
    <col customWidth="1" min="11" max="11" width="8.75"/>
    <col customWidth="1" min="12" max="12" width="12.88"/>
    <col customWidth="1" min="13" max="24" width="11.88"/>
    <col customWidth="1" min="25" max="25" width="3.88"/>
  </cols>
  <sheetData>
    <row r="1">
      <c r="A1" s="4" t="s">
        <v>19</v>
      </c>
      <c r="B1" s="6" t="s">
        <v>0</v>
      </c>
      <c r="C1" s="8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8</v>
      </c>
      <c r="I1" s="6" t="s">
        <v>40</v>
      </c>
      <c r="J1" s="6" t="s">
        <v>14</v>
      </c>
      <c r="K1" s="6" t="s">
        <v>15</v>
      </c>
      <c r="L1" s="6" t="s">
        <v>16</v>
      </c>
      <c r="M1" s="14" t="s">
        <v>20</v>
      </c>
      <c r="N1" s="6" t="s">
        <v>23</v>
      </c>
      <c r="O1" s="6" t="s">
        <v>24</v>
      </c>
      <c r="P1" s="6" t="s">
        <v>25</v>
      </c>
      <c r="Q1" s="6" t="s">
        <v>26</v>
      </c>
      <c r="R1" s="6" t="s">
        <v>28</v>
      </c>
      <c r="S1" s="6" t="s">
        <v>29</v>
      </c>
      <c r="T1" s="6" t="s">
        <v>30</v>
      </c>
      <c r="U1" s="6" t="s">
        <v>31</v>
      </c>
      <c r="V1" s="6" t="s">
        <v>32</v>
      </c>
      <c r="W1" s="6" t="s">
        <v>34</v>
      </c>
      <c r="X1" s="6" t="s">
        <v>35</v>
      </c>
      <c r="Y1" s="21"/>
    </row>
    <row r="2">
      <c r="A2" s="4" t="s">
        <v>54</v>
      </c>
      <c r="B2" s="25" t="s">
        <v>56</v>
      </c>
      <c r="C2" s="25" t="s">
        <v>41</v>
      </c>
      <c r="D2" s="26" t="s">
        <v>59</v>
      </c>
      <c r="E2" s="27" t="s">
        <v>60</v>
      </c>
      <c r="F2" s="27" t="s">
        <v>62</v>
      </c>
      <c r="G2" s="29">
        <v>46023.0</v>
      </c>
      <c r="H2" s="27" t="s">
        <v>66</v>
      </c>
      <c r="I2" s="25" t="s">
        <v>67</v>
      </c>
      <c r="J2" s="25" t="s">
        <v>70</v>
      </c>
      <c r="K2" s="30">
        <v>0.3</v>
      </c>
      <c r="L2" s="31">
        <f>sum(M2:X2)</f>
        <v>10260</v>
      </c>
      <c r="M2" s="32">
        <v>855.0</v>
      </c>
      <c r="N2" s="33">
        <v>855.0</v>
      </c>
      <c r="O2" s="33">
        <v>855.0</v>
      </c>
      <c r="P2" s="33">
        <v>855.0</v>
      </c>
      <c r="Q2" s="34">
        <v>855.0</v>
      </c>
      <c r="R2" s="34">
        <v>855.0</v>
      </c>
      <c r="S2" s="34">
        <v>855.0</v>
      </c>
      <c r="T2" s="34">
        <v>855.0</v>
      </c>
      <c r="U2" s="34">
        <v>855.0</v>
      </c>
      <c r="V2" s="34">
        <v>855.0</v>
      </c>
      <c r="W2" s="34">
        <v>855.0</v>
      </c>
      <c r="X2" s="34">
        <v>855.0</v>
      </c>
      <c r="Y2" s="35"/>
    </row>
    <row r="3">
      <c r="A3" s="4" t="s">
        <v>54</v>
      </c>
      <c r="B3" s="25" t="s">
        <v>87</v>
      </c>
      <c r="C3" s="25" t="s">
        <v>41</v>
      </c>
      <c r="D3" s="26" t="s">
        <v>90</v>
      </c>
      <c r="E3" s="27" t="s">
        <v>60</v>
      </c>
      <c r="F3" s="27" t="s">
        <v>46</v>
      </c>
      <c r="G3" s="29">
        <v>45959.0</v>
      </c>
      <c r="H3" s="27" t="s">
        <v>66</v>
      </c>
      <c r="I3" s="25" t="s">
        <v>93</v>
      </c>
      <c r="J3" s="25" t="s">
        <v>95</v>
      </c>
      <c r="K3" s="30">
        <v>0.49</v>
      </c>
      <c r="L3" s="31">
        <v>19668.0</v>
      </c>
      <c r="M3" s="32">
        <v>0.0</v>
      </c>
      <c r="N3" s="33">
        <v>3640.0</v>
      </c>
      <c r="O3" s="33">
        <v>440.0</v>
      </c>
      <c r="P3" s="33">
        <v>440.0</v>
      </c>
      <c r="Q3" s="34">
        <v>440.0</v>
      </c>
      <c r="R3" s="34">
        <v>440.0</v>
      </c>
      <c r="S3" s="34">
        <v>440.0</v>
      </c>
      <c r="T3" s="34">
        <v>440.0</v>
      </c>
      <c r="U3" s="34">
        <v>440.0</v>
      </c>
      <c r="V3" s="34">
        <v>440.0</v>
      </c>
      <c r="W3" s="34">
        <v>440.0</v>
      </c>
      <c r="X3" s="34">
        <v>440.0</v>
      </c>
      <c r="Y3" s="35"/>
    </row>
    <row r="4">
      <c r="A4" s="4" t="s">
        <v>54</v>
      </c>
      <c r="B4" s="25" t="s">
        <v>99</v>
      </c>
      <c r="C4" s="25" t="s">
        <v>41</v>
      </c>
      <c r="D4" s="26" t="s">
        <v>100</v>
      </c>
      <c r="E4" s="27" t="s">
        <v>60</v>
      </c>
      <c r="F4" s="27" t="s">
        <v>46</v>
      </c>
      <c r="G4" s="29">
        <v>46003.0</v>
      </c>
      <c r="H4" s="27" t="s">
        <v>66</v>
      </c>
      <c r="I4" s="25" t="s">
        <v>101</v>
      </c>
      <c r="J4" s="25" t="s">
        <v>102</v>
      </c>
      <c r="K4" s="30">
        <v>0.3186</v>
      </c>
      <c r="L4" s="31">
        <v>36564.6</v>
      </c>
      <c r="M4" s="32">
        <v>0.0</v>
      </c>
      <c r="N4" s="33">
        <v>14520.0</v>
      </c>
      <c r="O4" s="33">
        <v>520.0</v>
      </c>
      <c r="P4" s="33">
        <v>520.0</v>
      </c>
      <c r="Q4" s="34">
        <v>520.0</v>
      </c>
      <c r="R4" s="34">
        <v>520.0</v>
      </c>
      <c r="S4" s="34">
        <v>520.0</v>
      </c>
      <c r="T4" s="34">
        <v>520.0</v>
      </c>
      <c r="U4" s="34">
        <v>520.0</v>
      </c>
      <c r="V4" s="34">
        <v>520.0</v>
      </c>
      <c r="W4" s="34">
        <v>520.0</v>
      </c>
      <c r="X4" s="34">
        <v>520.0</v>
      </c>
      <c r="Y4" s="35"/>
    </row>
    <row r="5">
      <c r="A5" s="4" t="s">
        <v>54</v>
      </c>
      <c r="B5" s="25" t="s">
        <v>107</v>
      </c>
      <c r="C5" s="25" t="s">
        <v>27</v>
      </c>
      <c r="D5" s="26" t="s">
        <v>108</v>
      </c>
      <c r="E5" s="27" t="s">
        <v>60</v>
      </c>
      <c r="F5" s="27" t="s">
        <v>109</v>
      </c>
      <c r="G5" s="29">
        <v>46092.0</v>
      </c>
      <c r="H5" s="27" t="s">
        <v>66</v>
      </c>
      <c r="I5" s="25" t="s">
        <v>110</v>
      </c>
      <c r="J5" s="25" t="s">
        <v>111</v>
      </c>
      <c r="K5" s="30">
        <v>0.3708</v>
      </c>
      <c r="L5" s="31">
        <v>374586.0</v>
      </c>
      <c r="M5" s="36">
        <v>0.0</v>
      </c>
      <c r="N5" s="37">
        <v>0.0</v>
      </c>
      <c r="O5" s="37">
        <v>0.0</v>
      </c>
      <c r="P5" s="37">
        <v>0.0</v>
      </c>
      <c r="Q5" s="38">
        <v>9520.0</v>
      </c>
      <c r="R5" s="38">
        <v>5520.0</v>
      </c>
      <c r="S5" s="38">
        <v>5520.0</v>
      </c>
      <c r="T5" s="38">
        <v>5520.0</v>
      </c>
      <c r="U5" s="38">
        <v>5520.0</v>
      </c>
      <c r="V5" s="38">
        <v>5520.0</v>
      </c>
      <c r="W5" s="38">
        <v>5520.0</v>
      </c>
      <c r="X5" s="38">
        <v>5520.0</v>
      </c>
      <c r="Y5" s="35"/>
    </row>
    <row r="6">
      <c r="A6" s="4" t="s">
        <v>20</v>
      </c>
      <c r="B6" s="25" t="s">
        <v>118</v>
      </c>
      <c r="C6" s="25" t="s">
        <v>69</v>
      </c>
      <c r="D6" s="39" t="s">
        <v>119</v>
      </c>
      <c r="E6" s="27" t="s">
        <v>60</v>
      </c>
      <c r="F6" s="27" t="s">
        <v>62</v>
      </c>
      <c r="G6" s="29">
        <v>46074.0</v>
      </c>
      <c r="H6" s="27" t="s">
        <v>66</v>
      </c>
      <c r="I6" s="25" t="s">
        <v>122</v>
      </c>
      <c r="J6" s="25" t="s">
        <v>123</v>
      </c>
      <c r="K6" s="30">
        <v>0.25</v>
      </c>
      <c r="L6" s="40">
        <v>68088.0</v>
      </c>
      <c r="M6" s="36">
        <v>0.0</v>
      </c>
      <c r="N6" s="37">
        <v>0.0</v>
      </c>
      <c r="O6" s="41">
        <v>11174.0</v>
      </c>
      <c r="P6" s="41">
        <v>5174.0</v>
      </c>
      <c r="Q6" s="42">
        <v>5174.0</v>
      </c>
      <c r="R6" s="42">
        <v>5174.0</v>
      </c>
      <c r="S6" s="42">
        <v>5174.0</v>
      </c>
      <c r="T6" s="42">
        <v>5174.0</v>
      </c>
      <c r="U6" s="42">
        <v>5174.0</v>
      </c>
      <c r="V6" s="42">
        <v>5174.0</v>
      </c>
      <c r="W6" s="42">
        <v>5174.0</v>
      </c>
      <c r="X6" s="42">
        <v>5174.0</v>
      </c>
      <c r="Y6" s="35"/>
    </row>
    <row r="7">
      <c r="A7" s="4" t="s">
        <v>20</v>
      </c>
      <c r="B7" s="25" t="s">
        <v>127</v>
      </c>
      <c r="C7" s="25" t="s">
        <v>69</v>
      </c>
      <c r="D7" s="39" t="s">
        <v>129</v>
      </c>
      <c r="E7" s="27" t="s">
        <v>60</v>
      </c>
      <c r="F7" s="27" t="s">
        <v>62</v>
      </c>
      <c r="G7" s="29">
        <v>46074.0</v>
      </c>
      <c r="H7" s="27" t="s">
        <v>130</v>
      </c>
      <c r="I7" s="25" t="s">
        <v>131</v>
      </c>
      <c r="J7" s="43" t="s">
        <v>133</v>
      </c>
      <c r="K7" s="30">
        <v>0.2403</v>
      </c>
      <c r="L7" s="31">
        <v>102600.0</v>
      </c>
      <c r="M7" s="36">
        <v>0.0</v>
      </c>
      <c r="N7" s="37">
        <v>0.0</v>
      </c>
      <c r="O7" s="37">
        <v>0.0</v>
      </c>
      <c r="P7" s="37">
        <v>0.0</v>
      </c>
      <c r="Q7" s="43">
        <v>0.0</v>
      </c>
      <c r="R7" s="43">
        <v>0.0</v>
      </c>
      <c r="S7" s="43">
        <v>0.0</v>
      </c>
      <c r="T7" s="43">
        <v>0.0</v>
      </c>
      <c r="U7" s="43">
        <v>0.0</v>
      </c>
      <c r="V7" s="43">
        <v>2850.0</v>
      </c>
      <c r="W7" s="43">
        <v>2850.0</v>
      </c>
      <c r="X7" s="43">
        <v>2850.0</v>
      </c>
      <c r="Y7" s="35"/>
    </row>
    <row r="8">
      <c r="A8" s="4" t="s">
        <v>23</v>
      </c>
      <c r="B8" s="25" t="s">
        <v>138</v>
      </c>
      <c r="C8" s="25" t="s">
        <v>41</v>
      </c>
      <c r="D8" s="45" t="s">
        <v>139</v>
      </c>
      <c r="E8" s="27" t="s">
        <v>60</v>
      </c>
      <c r="F8" s="27" t="s">
        <v>46</v>
      </c>
      <c r="G8" s="29">
        <v>46101.0</v>
      </c>
      <c r="H8" s="27" t="s">
        <v>66</v>
      </c>
      <c r="I8" s="25" t="s">
        <v>143</v>
      </c>
      <c r="J8" s="25" t="s">
        <v>144</v>
      </c>
      <c r="K8" s="30">
        <v>0.31</v>
      </c>
      <c r="L8" s="31">
        <v>130620.0</v>
      </c>
      <c r="M8" s="36">
        <v>0.0</v>
      </c>
      <c r="N8" s="37">
        <v>0.0</v>
      </c>
      <c r="O8" s="37">
        <v>0.0</v>
      </c>
      <c r="P8" s="37">
        <v>0.0</v>
      </c>
      <c r="Q8" s="43">
        <v>0.0</v>
      </c>
      <c r="R8" s="43">
        <v>0.0</v>
      </c>
      <c r="S8" s="43">
        <v>0.0</v>
      </c>
      <c r="T8" s="47">
        <f>18500*4</f>
        <v>74000</v>
      </c>
      <c r="U8" s="47">
        <v>840.0</v>
      </c>
      <c r="V8" s="47">
        <v>840.0</v>
      </c>
      <c r="W8" s="47">
        <v>840.0</v>
      </c>
      <c r="X8" s="47">
        <v>840.0</v>
      </c>
      <c r="Y8" s="35"/>
    </row>
    <row r="9">
      <c r="A9" s="4" t="s">
        <v>23</v>
      </c>
      <c r="B9" s="25" t="s">
        <v>151</v>
      </c>
      <c r="C9" s="25" t="s">
        <v>41</v>
      </c>
      <c r="D9" s="39" t="s">
        <v>152</v>
      </c>
      <c r="E9" s="27" t="s">
        <v>60</v>
      </c>
      <c r="F9" s="27" t="s">
        <v>46</v>
      </c>
      <c r="G9" s="29">
        <v>46108.0</v>
      </c>
      <c r="H9" s="27" t="s">
        <v>66</v>
      </c>
      <c r="I9" s="25" t="s">
        <v>156</v>
      </c>
      <c r="J9" s="25" t="s">
        <v>157</v>
      </c>
      <c r="K9" s="30">
        <v>0.4906</v>
      </c>
      <c r="L9" s="40">
        <v>18000.0</v>
      </c>
      <c r="M9" s="36">
        <v>0.0</v>
      </c>
      <c r="N9" s="37">
        <v>0.0</v>
      </c>
      <c r="O9" s="37">
        <v>0.0</v>
      </c>
      <c r="P9" s="37">
        <v>0.0</v>
      </c>
      <c r="Q9" s="43">
        <v>0.0</v>
      </c>
      <c r="R9" s="47">
        <v>6200.0</v>
      </c>
      <c r="S9" s="47">
        <v>200.0</v>
      </c>
      <c r="T9" s="47">
        <v>200.0</v>
      </c>
      <c r="U9" s="47">
        <v>200.0</v>
      </c>
      <c r="V9" s="47">
        <v>200.0</v>
      </c>
      <c r="W9" s="47">
        <v>200.0</v>
      </c>
      <c r="X9" s="47">
        <v>200.0</v>
      </c>
      <c r="Y9" s="35"/>
    </row>
    <row r="10">
      <c r="A10" s="4" t="s">
        <v>23</v>
      </c>
      <c r="B10" s="25" t="s">
        <v>159</v>
      </c>
      <c r="C10" s="25" t="s">
        <v>41</v>
      </c>
      <c r="D10" s="39" t="s">
        <v>162</v>
      </c>
      <c r="E10" s="27" t="s">
        <v>60</v>
      </c>
      <c r="F10" s="27" t="s">
        <v>163</v>
      </c>
      <c r="G10" s="29">
        <v>46079.0</v>
      </c>
      <c r="H10" s="27" t="s">
        <v>66</v>
      </c>
      <c r="I10" s="25" t="s">
        <v>164</v>
      </c>
      <c r="J10" s="25" t="s">
        <v>165</v>
      </c>
      <c r="K10" s="30">
        <v>0.381</v>
      </c>
      <c r="L10" s="31">
        <v>2100.0</v>
      </c>
      <c r="M10" s="36">
        <v>0.0</v>
      </c>
      <c r="N10" s="37">
        <v>0.0</v>
      </c>
      <c r="O10" s="48">
        <v>2100.0</v>
      </c>
      <c r="P10" s="47">
        <v>0.0</v>
      </c>
      <c r="Q10" s="47">
        <v>0.0</v>
      </c>
      <c r="R10" s="47">
        <v>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47">
        <v>0.0</v>
      </c>
      <c r="Y10" s="35"/>
    </row>
    <row r="11">
      <c r="A11" s="4" t="s">
        <v>23</v>
      </c>
      <c r="B11" s="25" t="s">
        <v>168</v>
      </c>
      <c r="C11" s="25" t="s">
        <v>41</v>
      </c>
      <c r="D11" s="39" t="s">
        <v>170</v>
      </c>
      <c r="E11" s="27" t="s">
        <v>60</v>
      </c>
      <c r="F11" s="27" t="s">
        <v>163</v>
      </c>
      <c r="G11" s="29">
        <v>46100.0</v>
      </c>
      <c r="H11" s="27" t="s">
        <v>66</v>
      </c>
      <c r="I11" s="25" t="s">
        <v>172</v>
      </c>
      <c r="J11" s="25" t="s">
        <v>173</v>
      </c>
      <c r="K11" s="30">
        <v>0.3</v>
      </c>
      <c r="L11" s="31">
        <v>2100.0</v>
      </c>
      <c r="M11" s="36">
        <v>0.0</v>
      </c>
      <c r="N11" s="37">
        <v>0.0</v>
      </c>
      <c r="O11" s="48">
        <v>2100.0</v>
      </c>
      <c r="P11" s="47">
        <v>0.0</v>
      </c>
      <c r="Q11" s="47">
        <v>0.0</v>
      </c>
      <c r="R11" s="47">
        <v>0.0</v>
      </c>
      <c r="S11" s="47">
        <v>0.0</v>
      </c>
      <c r="T11" s="47">
        <v>0.0</v>
      </c>
      <c r="U11" s="47">
        <v>0.0</v>
      </c>
      <c r="V11" s="47">
        <v>0.0</v>
      </c>
      <c r="W11" s="47">
        <v>0.0</v>
      </c>
      <c r="X11" s="47">
        <v>0.0</v>
      </c>
      <c r="Y11" s="35"/>
    </row>
    <row r="12">
      <c r="A12" s="4" t="s">
        <v>23</v>
      </c>
      <c r="B12" s="25" t="s">
        <v>175</v>
      </c>
      <c r="C12" s="25" t="s">
        <v>41</v>
      </c>
      <c r="D12" s="39" t="s">
        <v>176</v>
      </c>
      <c r="E12" s="27" t="s">
        <v>60</v>
      </c>
      <c r="F12" s="27" t="s">
        <v>163</v>
      </c>
      <c r="G12" s="29">
        <v>46100.0</v>
      </c>
      <c r="H12" s="27" t="s">
        <v>66</v>
      </c>
      <c r="I12" s="25" t="s">
        <v>177</v>
      </c>
      <c r="J12" s="25" t="s">
        <v>178</v>
      </c>
      <c r="K12" s="30">
        <v>0.3</v>
      </c>
      <c r="L12" s="31">
        <v>2100.0</v>
      </c>
      <c r="M12" s="36">
        <v>0.0</v>
      </c>
      <c r="N12" s="37">
        <v>0.0</v>
      </c>
      <c r="O12" s="48">
        <v>2100.0</v>
      </c>
      <c r="P12" s="47">
        <v>0.0</v>
      </c>
      <c r="Q12" s="47">
        <v>0.0</v>
      </c>
      <c r="R12" s="47">
        <v>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47">
        <v>0.0</v>
      </c>
      <c r="Y12" s="35"/>
    </row>
    <row r="13">
      <c r="A13" s="4" t="s">
        <v>23</v>
      </c>
      <c r="B13" s="25" t="s">
        <v>179</v>
      </c>
      <c r="C13" s="25" t="s">
        <v>41</v>
      </c>
      <c r="D13" s="39" t="s">
        <v>180</v>
      </c>
      <c r="E13" s="27" t="s">
        <v>60</v>
      </c>
      <c r="F13" s="27" t="s">
        <v>163</v>
      </c>
      <c r="G13" s="29">
        <v>46100.0</v>
      </c>
      <c r="H13" s="27" t="s">
        <v>66</v>
      </c>
      <c r="I13" s="25" t="s">
        <v>183</v>
      </c>
      <c r="J13" s="25" t="s">
        <v>184</v>
      </c>
      <c r="K13" s="30">
        <v>0.3</v>
      </c>
      <c r="L13" s="31">
        <v>2100.0</v>
      </c>
      <c r="M13" s="36">
        <v>0.0</v>
      </c>
      <c r="N13" s="37">
        <v>0.0</v>
      </c>
      <c r="O13" s="48">
        <v>2100.0</v>
      </c>
      <c r="P13" s="47">
        <v>0.0</v>
      </c>
      <c r="Q13" s="47">
        <v>0.0</v>
      </c>
      <c r="R13" s="47">
        <v>0.0</v>
      </c>
      <c r="S13" s="47">
        <v>0.0</v>
      </c>
      <c r="T13" s="47">
        <v>0.0</v>
      </c>
      <c r="U13" s="47">
        <v>0.0</v>
      </c>
      <c r="V13" s="47">
        <v>0.0</v>
      </c>
      <c r="W13" s="47">
        <v>0.0</v>
      </c>
      <c r="X13" s="47">
        <v>0.0</v>
      </c>
      <c r="Y13" s="35"/>
    </row>
    <row r="14">
      <c r="A14" s="4" t="s">
        <v>23</v>
      </c>
      <c r="B14" s="25" t="s">
        <v>190</v>
      </c>
      <c r="C14" s="25" t="s">
        <v>41</v>
      </c>
      <c r="D14" s="39" t="s">
        <v>191</v>
      </c>
      <c r="E14" s="27" t="s">
        <v>60</v>
      </c>
      <c r="F14" s="27" t="s">
        <v>163</v>
      </c>
      <c r="G14" s="29">
        <v>46094.0</v>
      </c>
      <c r="H14" s="27" t="s">
        <v>66</v>
      </c>
      <c r="I14" s="25" t="s">
        <v>192</v>
      </c>
      <c r="J14" s="25" t="s">
        <v>193</v>
      </c>
      <c r="K14" s="30">
        <v>0.3</v>
      </c>
      <c r="L14" s="31">
        <v>2100.0</v>
      </c>
      <c r="M14" s="36">
        <v>0.0</v>
      </c>
      <c r="N14" s="37">
        <v>0.0</v>
      </c>
      <c r="O14" s="48">
        <v>2100.0</v>
      </c>
      <c r="P14" s="47">
        <v>0.0</v>
      </c>
      <c r="Q14" s="47">
        <v>0.0</v>
      </c>
      <c r="R14" s="47">
        <v>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47">
        <v>0.0</v>
      </c>
      <c r="Y14" s="35"/>
    </row>
    <row r="15">
      <c r="A15" s="4" t="s">
        <v>24</v>
      </c>
      <c r="B15" s="25" t="s">
        <v>196</v>
      </c>
      <c r="C15" s="25" t="s">
        <v>27</v>
      </c>
      <c r="D15" s="39" t="s">
        <v>197</v>
      </c>
      <c r="E15" s="27" t="s">
        <v>45</v>
      </c>
      <c r="F15" s="27" t="s">
        <v>62</v>
      </c>
      <c r="G15" s="29">
        <v>46111.0</v>
      </c>
      <c r="H15" s="27" t="s">
        <v>66</v>
      </c>
      <c r="I15" s="25" t="s">
        <v>200</v>
      </c>
      <c r="J15" s="25" t="s">
        <v>201</v>
      </c>
      <c r="K15" s="30">
        <v>0.3074</v>
      </c>
      <c r="L15" s="31">
        <v>84672.0</v>
      </c>
      <c r="M15" s="36">
        <v>0.0</v>
      </c>
      <c r="N15" s="37">
        <v>0.0</v>
      </c>
      <c r="O15" s="37">
        <v>0.0</v>
      </c>
      <c r="P15" s="48">
        <v>8400.0</v>
      </c>
      <c r="Q15" s="47">
        <v>8400.0</v>
      </c>
      <c r="R15" s="47">
        <v>8400.0</v>
      </c>
      <c r="S15" s="47">
        <v>8400.0</v>
      </c>
      <c r="T15" s="47">
        <v>8400.0</v>
      </c>
      <c r="U15" s="47">
        <v>8400.0</v>
      </c>
      <c r="V15" s="47">
        <v>8400.0</v>
      </c>
      <c r="W15" s="47">
        <v>8400.0</v>
      </c>
      <c r="X15" s="47">
        <v>8400.0</v>
      </c>
      <c r="Y15" s="35"/>
    </row>
    <row r="16">
      <c r="A16" s="4" t="s">
        <v>24</v>
      </c>
      <c r="B16" s="25" t="s">
        <v>204</v>
      </c>
      <c r="C16" s="25" t="s">
        <v>27</v>
      </c>
      <c r="D16" s="39" t="s">
        <v>205</v>
      </c>
      <c r="E16" s="27" t="s">
        <v>60</v>
      </c>
      <c r="F16" s="27" t="s">
        <v>62</v>
      </c>
      <c r="G16" s="29">
        <v>46167.0</v>
      </c>
      <c r="H16" s="27" t="s">
        <v>66</v>
      </c>
      <c r="I16" s="25" t="s">
        <v>206</v>
      </c>
      <c r="J16" s="25" t="s">
        <v>207</v>
      </c>
      <c r="K16" s="30">
        <v>0.3736</v>
      </c>
      <c r="L16" s="31">
        <v>55440.0</v>
      </c>
      <c r="M16" s="36">
        <v>0.0</v>
      </c>
      <c r="N16" s="37">
        <v>0.0</v>
      </c>
      <c r="O16" s="37">
        <v>0.0</v>
      </c>
      <c r="P16" s="37">
        <v>0.0</v>
      </c>
      <c r="Q16" s="43">
        <v>0.0</v>
      </c>
      <c r="R16" s="43">
        <v>0.0</v>
      </c>
      <c r="S16" s="47">
        <v>4400.0</v>
      </c>
      <c r="T16" s="47">
        <v>4400.0</v>
      </c>
      <c r="U16" s="47">
        <v>4400.0</v>
      </c>
      <c r="V16" s="47">
        <v>4400.0</v>
      </c>
      <c r="W16" s="47">
        <v>4400.0</v>
      </c>
      <c r="X16" s="47">
        <v>4400.0</v>
      </c>
      <c r="Y16" s="35"/>
    </row>
    <row r="17">
      <c r="A17" s="4" t="s">
        <v>24</v>
      </c>
      <c r="B17" s="25" t="s">
        <v>208</v>
      </c>
      <c r="C17" s="25" t="s">
        <v>69</v>
      </c>
      <c r="D17" s="39" t="s">
        <v>210</v>
      </c>
      <c r="E17" s="27" t="s">
        <v>60</v>
      </c>
      <c r="F17" s="27" t="s">
        <v>62</v>
      </c>
      <c r="G17" s="29">
        <v>46178.0</v>
      </c>
      <c r="H17" s="27" t="s">
        <v>130</v>
      </c>
      <c r="I17" s="25" t="s">
        <v>213</v>
      </c>
      <c r="J17" s="25" t="s">
        <v>214</v>
      </c>
      <c r="K17" s="30">
        <v>0.3228</v>
      </c>
      <c r="L17" s="31">
        <v>76800.0</v>
      </c>
      <c r="M17" s="36">
        <v>0.0</v>
      </c>
      <c r="N17" s="37">
        <v>0.0</v>
      </c>
      <c r="O17" s="37">
        <v>0.0</v>
      </c>
      <c r="P17" s="37">
        <v>0.0</v>
      </c>
      <c r="Q17" s="43">
        <v>0.0</v>
      </c>
      <c r="R17" s="43">
        <v>0.0</v>
      </c>
      <c r="S17" s="43">
        <v>0.0</v>
      </c>
      <c r="T17" s="43">
        <v>0.0</v>
      </c>
      <c r="U17" s="43">
        <v>0.0</v>
      </c>
      <c r="V17" s="43">
        <v>9150.0</v>
      </c>
      <c r="W17" s="43">
        <v>6150.0</v>
      </c>
      <c r="X17" s="43">
        <v>6150.0</v>
      </c>
      <c r="Y17" s="35"/>
    </row>
    <row r="18">
      <c r="A18" s="4" t="s">
        <v>24</v>
      </c>
      <c r="B18" s="25" t="s">
        <v>217</v>
      </c>
      <c r="C18" s="25" t="s">
        <v>41</v>
      </c>
      <c r="D18" s="39" t="s">
        <v>218</v>
      </c>
      <c r="E18" s="27" t="s">
        <v>60</v>
      </c>
      <c r="F18" s="27" t="s">
        <v>163</v>
      </c>
      <c r="G18" s="29">
        <v>46122.0</v>
      </c>
      <c r="H18" s="27" t="s">
        <v>66</v>
      </c>
      <c r="I18" s="25" t="s">
        <v>221</v>
      </c>
      <c r="J18" s="25" t="s">
        <v>222</v>
      </c>
      <c r="K18" s="30">
        <v>0.3</v>
      </c>
      <c r="L18" s="31">
        <v>2100.0</v>
      </c>
      <c r="M18" s="36">
        <v>0.0</v>
      </c>
      <c r="N18" s="37">
        <v>0.0</v>
      </c>
      <c r="O18" s="37">
        <v>0.0</v>
      </c>
      <c r="P18" s="33">
        <v>2100.0</v>
      </c>
      <c r="Q18" s="34">
        <v>0.0</v>
      </c>
      <c r="R18" s="34">
        <v>0.0</v>
      </c>
      <c r="S18" s="34">
        <v>0.0</v>
      </c>
      <c r="T18" s="34">
        <v>0.0</v>
      </c>
      <c r="U18" s="34">
        <v>0.0</v>
      </c>
      <c r="V18" s="34">
        <v>0.0</v>
      </c>
      <c r="W18" s="34">
        <v>0.0</v>
      </c>
      <c r="X18" s="34">
        <v>0.0</v>
      </c>
      <c r="Y18" s="35"/>
    </row>
    <row r="19">
      <c r="A19" s="4" t="s">
        <v>24</v>
      </c>
      <c r="B19" s="25" t="s">
        <v>225</v>
      </c>
      <c r="C19" s="25" t="s">
        <v>41</v>
      </c>
      <c r="D19" s="39" t="s">
        <v>226</v>
      </c>
      <c r="E19" s="27" t="s">
        <v>60</v>
      </c>
      <c r="F19" s="27" t="s">
        <v>163</v>
      </c>
      <c r="G19" s="29">
        <v>46122.0</v>
      </c>
      <c r="H19" s="27" t="s">
        <v>66</v>
      </c>
      <c r="I19" s="25" t="s">
        <v>227</v>
      </c>
      <c r="J19" s="25" t="s">
        <v>228</v>
      </c>
      <c r="K19" s="30">
        <v>0.3</v>
      </c>
      <c r="L19" s="31">
        <v>2100.0</v>
      </c>
      <c r="M19" s="36">
        <v>0.0</v>
      </c>
      <c r="N19" s="37">
        <v>0.0</v>
      </c>
      <c r="O19" s="37">
        <v>0.0</v>
      </c>
      <c r="P19" s="33">
        <v>2100.0</v>
      </c>
      <c r="Q19" s="34">
        <v>0.0</v>
      </c>
      <c r="R19" s="34">
        <v>0.0</v>
      </c>
      <c r="S19" s="34">
        <v>0.0</v>
      </c>
      <c r="T19" s="34">
        <v>0.0</v>
      </c>
      <c r="U19" s="34">
        <v>0.0</v>
      </c>
      <c r="V19" s="34">
        <v>0.0</v>
      </c>
      <c r="W19" s="34">
        <v>0.0</v>
      </c>
      <c r="X19" s="34">
        <v>0.0</v>
      </c>
      <c r="Y19" s="35"/>
    </row>
    <row r="20">
      <c r="A20" s="4" t="s">
        <v>24</v>
      </c>
      <c r="B20" s="25" t="s">
        <v>232</v>
      </c>
      <c r="C20" s="25" t="s">
        <v>41</v>
      </c>
      <c r="D20" s="39" t="s">
        <v>233</v>
      </c>
      <c r="E20" s="27" t="s">
        <v>60</v>
      </c>
      <c r="F20" s="27" t="s">
        <v>163</v>
      </c>
      <c r="G20" s="29">
        <v>46122.0</v>
      </c>
      <c r="H20" s="27" t="s">
        <v>66</v>
      </c>
      <c r="I20" s="25" t="s">
        <v>234</v>
      </c>
      <c r="J20" s="25" t="s">
        <v>235</v>
      </c>
      <c r="K20" s="30">
        <v>0.3</v>
      </c>
      <c r="L20" s="31">
        <v>2100.0</v>
      </c>
      <c r="M20" s="36">
        <v>0.0</v>
      </c>
      <c r="N20" s="37">
        <v>0.0</v>
      </c>
      <c r="O20" s="37">
        <v>0.0</v>
      </c>
      <c r="P20" s="33">
        <v>2100.0</v>
      </c>
      <c r="Q20" s="34">
        <v>0.0</v>
      </c>
      <c r="R20" s="34">
        <v>0.0</v>
      </c>
      <c r="S20" s="34">
        <v>0.0</v>
      </c>
      <c r="T20" s="34">
        <v>0.0</v>
      </c>
      <c r="U20" s="34">
        <v>0.0</v>
      </c>
      <c r="V20" s="34">
        <v>0.0</v>
      </c>
      <c r="W20" s="34">
        <v>0.0</v>
      </c>
      <c r="X20" s="34">
        <v>0.0</v>
      </c>
      <c r="Y20" s="35"/>
    </row>
    <row r="21">
      <c r="A21" s="4" t="s">
        <v>24</v>
      </c>
      <c r="B21" s="25" t="s">
        <v>238</v>
      </c>
      <c r="C21" s="25" t="s">
        <v>41</v>
      </c>
      <c r="D21" s="39" t="s">
        <v>239</v>
      </c>
      <c r="E21" s="27" t="s">
        <v>60</v>
      </c>
      <c r="F21" s="27" t="s">
        <v>163</v>
      </c>
      <c r="G21" s="29">
        <v>46122.0</v>
      </c>
      <c r="H21" s="27" t="s">
        <v>66</v>
      </c>
      <c r="I21" s="25" t="s">
        <v>240</v>
      </c>
      <c r="J21" s="25" t="s">
        <v>241</v>
      </c>
      <c r="K21" s="30">
        <v>0.3</v>
      </c>
      <c r="L21" s="31">
        <v>2100.0</v>
      </c>
      <c r="M21" s="36">
        <v>0.0</v>
      </c>
      <c r="N21" s="37">
        <v>0.0</v>
      </c>
      <c r="O21" s="37">
        <v>0.0</v>
      </c>
      <c r="P21" s="33">
        <v>2100.0</v>
      </c>
      <c r="Q21" s="34">
        <v>0.0</v>
      </c>
      <c r="R21" s="34">
        <v>0.0</v>
      </c>
      <c r="S21" s="34">
        <v>0.0</v>
      </c>
      <c r="T21" s="34">
        <v>0.0</v>
      </c>
      <c r="U21" s="34">
        <v>0.0</v>
      </c>
      <c r="V21" s="34">
        <v>0.0</v>
      </c>
      <c r="W21" s="34">
        <v>0.0</v>
      </c>
      <c r="X21" s="34">
        <v>0.0</v>
      </c>
      <c r="Y21" s="35"/>
    </row>
    <row r="22">
      <c r="A22" s="4" t="s">
        <v>24</v>
      </c>
      <c r="B22" s="25" t="s">
        <v>244</v>
      </c>
      <c r="C22" s="25" t="s">
        <v>41</v>
      </c>
      <c r="D22" s="39" t="s">
        <v>245</v>
      </c>
      <c r="E22" s="27" t="s">
        <v>60</v>
      </c>
      <c r="F22" s="27" t="s">
        <v>163</v>
      </c>
      <c r="G22" s="29">
        <v>46122.0</v>
      </c>
      <c r="H22" s="27" t="s">
        <v>66</v>
      </c>
      <c r="I22" s="25" t="s">
        <v>246</v>
      </c>
      <c r="J22" s="25" t="s">
        <v>247</v>
      </c>
      <c r="K22" s="30">
        <v>0.3</v>
      </c>
      <c r="L22" s="31">
        <v>2100.0</v>
      </c>
      <c r="M22" s="36">
        <v>0.0</v>
      </c>
      <c r="N22" s="37">
        <v>0.0</v>
      </c>
      <c r="O22" s="37">
        <v>0.0</v>
      </c>
      <c r="P22" s="33">
        <v>2100.0</v>
      </c>
      <c r="Q22" s="34">
        <v>0.0</v>
      </c>
      <c r="R22" s="34">
        <v>0.0</v>
      </c>
      <c r="S22" s="34">
        <v>0.0</v>
      </c>
      <c r="T22" s="34">
        <v>0.0</v>
      </c>
      <c r="U22" s="34">
        <v>0.0</v>
      </c>
      <c r="V22" s="34">
        <v>0.0</v>
      </c>
      <c r="W22" s="34">
        <v>0.0</v>
      </c>
      <c r="X22" s="34">
        <v>0.0</v>
      </c>
      <c r="Y22" s="35"/>
    </row>
    <row r="23">
      <c r="A23" s="4" t="s">
        <v>24</v>
      </c>
      <c r="B23" s="25" t="s">
        <v>250</v>
      </c>
      <c r="C23" s="25" t="s">
        <v>27</v>
      </c>
      <c r="D23" s="39" t="s">
        <v>251</v>
      </c>
      <c r="E23" s="27" t="s">
        <v>60</v>
      </c>
      <c r="F23" s="27" t="s">
        <v>109</v>
      </c>
      <c r="G23" s="29">
        <v>46199.0</v>
      </c>
      <c r="H23" s="27" t="s">
        <v>66</v>
      </c>
      <c r="I23" s="25" t="s">
        <v>254</v>
      </c>
      <c r="J23" s="25" t="s">
        <v>255</v>
      </c>
      <c r="K23" s="30">
        <v>0.3609</v>
      </c>
      <c r="L23" s="31">
        <v>52746.78</v>
      </c>
      <c r="M23" s="36">
        <v>0.0</v>
      </c>
      <c r="N23" s="37">
        <v>0.0</v>
      </c>
      <c r="O23" s="37">
        <v>0.0</v>
      </c>
      <c r="P23" s="37">
        <v>0.0</v>
      </c>
      <c r="Q23" s="34">
        <v>7621.040000000001</v>
      </c>
      <c r="R23" s="34">
        <v>3591.0400000000004</v>
      </c>
      <c r="S23" s="34">
        <v>3591.0400000000004</v>
      </c>
      <c r="T23" s="34">
        <v>3591.0400000000004</v>
      </c>
      <c r="U23" s="34">
        <v>3591.0400000000004</v>
      </c>
      <c r="V23" s="34">
        <v>3591.0400000000004</v>
      </c>
      <c r="W23" s="34">
        <v>3591.0400000000004</v>
      </c>
      <c r="X23" s="34">
        <v>3591.0400000000004</v>
      </c>
      <c r="Y23" s="35"/>
    </row>
    <row r="24">
      <c r="A24" s="4" t="s">
        <v>25</v>
      </c>
      <c r="B24" s="25" t="s">
        <v>256</v>
      </c>
      <c r="C24" s="25" t="s">
        <v>41</v>
      </c>
      <c r="D24" s="39" t="s">
        <v>258</v>
      </c>
      <c r="E24" s="27" t="s">
        <v>60</v>
      </c>
      <c r="F24" s="27" t="s">
        <v>163</v>
      </c>
      <c r="G24" s="29">
        <v>46143.0</v>
      </c>
      <c r="H24" s="27" t="s">
        <v>66</v>
      </c>
      <c r="I24" s="25" t="s">
        <v>261</v>
      </c>
      <c r="J24" s="25" t="s">
        <v>262</v>
      </c>
      <c r="K24" s="30">
        <v>0.3197</v>
      </c>
      <c r="L24" s="31">
        <v>1470.0</v>
      </c>
      <c r="M24" s="36">
        <v>0.0</v>
      </c>
      <c r="N24" s="37">
        <v>0.0</v>
      </c>
      <c r="O24" s="37">
        <v>0.0</v>
      </c>
      <c r="P24" s="33">
        <v>1470.0</v>
      </c>
      <c r="Q24" s="34">
        <v>0.0</v>
      </c>
      <c r="R24" s="34">
        <v>0.0</v>
      </c>
      <c r="S24" s="34">
        <v>0.0</v>
      </c>
      <c r="T24" s="34">
        <v>0.0</v>
      </c>
      <c r="U24" s="34">
        <v>0.0</v>
      </c>
      <c r="V24" s="34">
        <v>0.0</v>
      </c>
      <c r="W24" s="34">
        <v>0.0</v>
      </c>
      <c r="X24" s="34">
        <v>0.0</v>
      </c>
      <c r="Y24" s="35"/>
    </row>
    <row r="25">
      <c r="A25" s="4" t="s">
        <v>25</v>
      </c>
      <c r="B25" s="25" t="s">
        <v>264</v>
      </c>
      <c r="C25" s="25" t="s">
        <v>41</v>
      </c>
      <c r="D25" s="39" t="s">
        <v>266</v>
      </c>
      <c r="E25" s="27" t="s">
        <v>60</v>
      </c>
      <c r="F25" s="27" t="s">
        <v>163</v>
      </c>
      <c r="G25" s="29">
        <v>46143.0</v>
      </c>
      <c r="H25" s="27" t="s">
        <v>66</v>
      </c>
      <c r="I25" s="25" t="s">
        <v>267</v>
      </c>
      <c r="J25" s="25" t="s">
        <v>268</v>
      </c>
      <c r="K25" s="30">
        <v>0.3197</v>
      </c>
      <c r="L25" s="31">
        <v>1470.0</v>
      </c>
      <c r="M25" s="36">
        <v>0.0</v>
      </c>
      <c r="N25" s="37">
        <v>0.0</v>
      </c>
      <c r="O25" s="37">
        <v>0.0</v>
      </c>
      <c r="P25" s="33">
        <v>1470.0</v>
      </c>
      <c r="Q25" s="34">
        <v>0.0</v>
      </c>
      <c r="R25" s="34">
        <v>0.0</v>
      </c>
      <c r="S25" s="34">
        <v>0.0</v>
      </c>
      <c r="T25" s="34">
        <v>0.0</v>
      </c>
      <c r="U25" s="34">
        <v>0.0</v>
      </c>
      <c r="V25" s="34">
        <v>0.0</v>
      </c>
      <c r="W25" s="34">
        <v>0.0</v>
      </c>
      <c r="X25" s="34">
        <v>0.0</v>
      </c>
      <c r="Y25" s="35"/>
    </row>
    <row r="26">
      <c r="A26" s="4" t="s">
        <v>25</v>
      </c>
      <c r="B26" s="25" t="s">
        <v>269</v>
      </c>
      <c r="C26" s="25" t="s">
        <v>41</v>
      </c>
      <c r="D26" s="39" t="s">
        <v>270</v>
      </c>
      <c r="E26" s="27" t="s">
        <v>60</v>
      </c>
      <c r="F26" s="27" t="s">
        <v>163</v>
      </c>
      <c r="G26" s="29">
        <v>46143.0</v>
      </c>
      <c r="H26" s="27" t="s">
        <v>66</v>
      </c>
      <c r="I26" s="25" t="s">
        <v>271</v>
      </c>
      <c r="J26" s="25" t="s">
        <v>272</v>
      </c>
      <c r="K26" s="30">
        <v>0.3197</v>
      </c>
      <c r="L26" s="31">
        <v>1470.0</v>
      </c>
      <c r="M26" s="36">
        <v>0.0</v>
      </c>
      <c r="N26" s="37">
        <v>0.0</v>
      </c>
      <c r="O26" s="37">
        <v>0.0</v>
      </c>
      <c r="P26" s="33">
        <v>1470.0</v>
      </c>
      <c r="Q26" s="34">
        <v>0.0</v>
      </c>
      <c r="R26" s="34">
        <v>0.0</v>
      </c>
      <c r="S26" s="34">
        <v>0.0</v>
      </c>
      <c r="T26" s="34">
        <v>0.0</v>
      </c>
      <c r="U26" s="34">
        <v>0.0</v>
      </c>
      <c r="V26" s="34">
        <v>0.0</v>
      </c>
      <c r="W26" s="34">
        <v>0.0</v>
      </c>
      <c r="X26" s="34">
        <v>0.0</v>
      </c>
      <c r="Y26" s="35"/>
    </row>
    <row r="27">
      <c r="A27" s="4" t="s">
        <v>25</v>
      </c>
      <c r="B27" s="25" t="s">
        <v>275</v>
      </c>
      <c r="C27" s="25" t="s">
        <v>41</v>
      </c>
      <c r="D27" s="39" t="s">
        <v>276</v>
      </c>
      <c r="E27" s="27" t="s">
        <v>60</v>
      </c>
      <c r="F27" s="27" t="s">
        <v>163</v>
      </c>
      <c r="G27" s="29">
        <v>46162.0</v>
      </c>
      <c r="H27" s="27" t="s">
        <v>66</v>
      </c>
      <c r="I27" s="25" t="s">
        <v>277</v>
      </c>
      <c r="J27" s="25" t="s">
        <v>278</v>
      </c>
      <c r="K27" s="30">
        <v>0.3197</v>
      </c>
      <c r="L27" s="31">
        <v>1470.0</v>
      </c>
      <c r="M27" s="36">
        <v>0.0</v>
      </c>
      <c r="N27" s="37">
        <v>0.0</v>
      </c>
      <c r="O27" s="37">
        <v>0.0</v>
      </c>
      <c r="P27" s="33">
        <v>0.0</v>
      </c>
      <c r="Q27" s="34">
        <v>1470.0</v>
      </c>
      <c r="R27" s="34">
        <v>0.0</v>
      </c>
      <c r="S27" s="34">
        <v>0.0</v>
      </c>
      <c r="T27" s="34">
        <v>0.0</v>
      </c>
      <c r="U27" s="34">
        <v>0.0</v>
      </c>
      <c r="V27" s="34">
        <v>0.0</v>
      </c>
      <c r="W27" s="34">
        <v>0.0</v>
      </c>
      <c r="X27" s="34">
        <v>0.0</v>
      </c>
      <c r="Y27" s="35"/>
    </row>
    <row r="28">
      <c r="A28" s="4" t="s">
        <v>25</v>
      </c>
      <c r="B28" s="25" t="s">
        <v>281</v>
      </c>
      <c r="C28" s="25" t="s">
        <v>41</v>
      </c>
      <c r="D28" s="39" t="s">
        <v>282</v>
      </c>
      <c r="E28" s="27" t="s">
        <v>60</v>
      </c>
      <c r="F28" s="27" t="s">
        <v>62</v>
      </c>
      <c r="G28" s="29">
        <v>46220.0</v>
      </c>
      <c r="H28" s="27" t="s">
        <v>66</v>
      </c>
      <c r="I28" s="25" t="s">
        <v>283</v>
      </c>
      <c r="J28" s="25" t="s">
        <v>284</v>
      </c>
      <c r="K28" s="30">
        <v>0.6111</v>
      </c>
      <c r="L28" s="31">
        <v>52920.0</v>
      </c>
      <c r="M28" s="36">
        <v>0.0</v>
      </c>
      <c r="N28" s="37">
        <v>0.0</v>
      </c>
      <c r="O28" s="37">
        <v>0.0</v>
      </c>
      <c r="P28" s="37">
        <v>0.0</v>
      </c>
      <c r="Q28" s="43">
        <v>0.0</v>
      </c>
      <c r="R28" s="43">
        <v>0.0</v>
      </c>
      <c r="S28" s="43">
        <v>0.0</v>
      </c>
      <c r="T28" s="43">
        <v>0.0</v>
      </c>
      <c r="U28" s="38">
        <v>4200.0</v>
      </c>
      <c r="V28" s="38">
        <v>4200.0</v>
      </c>
      <c r="W28" s="38">
        <v>4200.0</v>
      </c>
      <c r="X28" s="38">
        <v>4200.0</v>
      </c>
      <c r="Y28" s="35"/>
    </row>
    <row r="29">
      <c r="A29" s="4" t="s">
        <v>25</v>
      </c>
      <c r="B29" s="25" t="s">
        <v>286</v>
      </c>
      <c r="C29" s="25" t="s">
        <v>41</v>
      </c>
      <c r="D29" s="39" t="s">
        <v>289</v>
      </c>
      <c r="E29" s="27" t="s">
        <v>60</v>
      </c>
      <c r="F29" s="27" t="s">
        <v>62</v>
      </c>
      <c r="G29" s="29">
        <v>46220.0</v>
      </c>
      <c r="H29" s="27" t="s">
        <v>66</v>
      </c>
      <c r="I29" s="25" t="s">
        <v>290</v>
      </c>
      <c r="J29" s="25" t="s">
        <v>291</v>
      </c>
      <c r="K29" s="30">
        <v>0.1799</v>
      </c>
      <c r="L29" s="31">
        <v>48384.0</v>
      </c>
      <c r="M29" s="36">
        <v>0.0</v>
      </c>
      <c r="N29" s="37">
        <v>0.0</v>
      </c>
      <c r="O29" s="37">
        <v>0.0</v>
      </c>
      <c r="P29" s="37">
        <v>0.0</v>
      </c>
      <c r="Q29" s="43">
        <v>0.0</v>
      </c>
      <c r="R29" s="43">
        <v>0.0</v>
      </c>
      <c r="S29" s="43">
        <v>0.0</v>
      </c>
      <c r="T29" s="43">
        <v>0.0</v>
      </c>
      <c r="U29" s="42">
        <v>3840.0</v>
      </c>
      <c r="V29" s="42">
        <v>3840.0</v>
      </c>
      <c r="W29" s="42">
        <v>3840.0</v>
      </c>
      <c r="X29" s="42">
        <v>3840.0</v>
      </c>
      <c r="Y29" s="35"/>
    </row>
    <row r="30">
      <c r="A30" s="4" t="s">
        <v>26</v>
      </c>
      <c r="B30" s="25" t="s">
        <v>292</v>
      </c>
      <c r="C30" s="25" t="s">
        <v>41</v>
      </c>
      <c r="D30" s="45" t="s">
        <v>294</v>
      </c>
      <c r="E30" s="27" t="s">
        <v>60</v>
      </c>
      <c r="F30" s="27" t="s">
        <v>46</v>
      </c>
      <c r="G30" s="29">
        <v>46193.0</v>
      </c>
      <c r="H30" s="27" t="s">
        <v>66</v>
      </c>
      <c r="I30" s="25" t="s">
        <v>295</v>
      </c>
      <c r="J30" s="25" t="s">
        <v>296</v>
      </c>
      <c r="K30" s="30">
        <v>0.3059</v>
      </c>
      <c r="L30" s="31">
        <v>116000.0</v>
      </c>
      <c r="M30" s="36">
        <v>0.0</v>
      </c>
      <c r="N30" s="37">
        <v>0.0</v>
      </c>
      <c r="O30" s="37">
        <v>0.0</v>
      </c>
      <c r="P30" s="37">
        <v>0.0</v>
      </c>
      <c r="Q30" s="43">
        <v>0.0</v>
      </c>
      <c r="R30" s="43">
        <v>0.0</v>
      </c>
      <c r="S30" s="43">
        <v>0.0</v>
      </c>
      <c r="T30" s="43">
        <v>0.0</v>
      </c>
      <c r="U30" s="42">
        <v>9800.0</v>
      </c>
      <c r="V30" s="34">
        <v>1800.0</v>
      </c>
      <c r="W30" s="34">
        <v>1800.0</v>
      </c>
      <c r="X30" s="34">
        <v>1800.0</v>
      </c>
      <c r="Y30" s="35"/>
    </row>
    <row r="31">
      <c r="A31" s="4" t="s">
        <v>26</v>
      </c>
      <c r="B31" s="25" t="s">
        <v>297</v>
      </c>
      <c r="C31" s="25" t="s">
        <v>41</v>
      </c>
      <c r="D31" s="45" t="s">
        <v>298</v>
      </c>
      <c r="E31" s="27" t="s">
        <v>60</v>
      </c>
      <c r="F31" s="27" t="s">
        <v>46</v>
      </c>
      <c r="G31" s="29">
        <v>46193.0</v>
      </c>
      <c r="H31" s="27" t="s">
        <v>66</v>
      </c>
      <c r="I31" s="25" t="s">
        <v>299</v>
      </c>
      <c r="J31" s="25" t="s">
        <v>300</v>
      </c>
      <c r="K31" s="30">
        <v>0.286</v>
      </c>
      <c r="L31" s="31">
        <v>84000.0</v>
      </c>
      <c r="M31" s="36">
        <v>0.0</v>
      </c>
      <c r="N31" s="37">
        <v>0.0</v>
      </c>
      <c r="O31" s="37">
        <v>0.0</v>
      </c>
      <c r="P31" s="37">
        <v>0.0</v>
      </c>
      <c r="Q31" s="43">
        <v>0.0</v>
      </c>
      <c r="R31" s="43">
        <v>0.0</v>
      </c>
      <c r="S31" s="43">
        <v>0.0</v>
      </c>
      <c r="T31" s="43">
        <v>0.0</v>
      </c>
      <c r="U31" s="42">
        <v>29000.0</v>
      </c>
      <c r="V31" s="34">
        <v>5000.0</v>
      </c>
      <c r="W31" s="34">
        <v>5000.0</v>
      </c>
      <c r="X31" s="34">
        <v>5000.0</v>
      </c>
      <c r="Y31" s="35"/>
    </row>
    <row r="32">
      <c r="A32" s="4" t="s">
        <v>26</v>
      </c>
      <c r="B32" s="25" t="s">
        <v>303</v>
      </c>
      <c r="C32" s="25" t="s">
        <v>41</v>
      </c>
      <c r="D32" s="45" t="s">
        <v>304</v>
      </c>
      <c r="E32" s="27" t="s">
        <v>60</v>
      </c>
      <c r="F32" s="27" t="s">
        <v>46</v>
      </c>
      <c r="G32" s="29">
        <v>46193.0</v>
      </c>
      <c r="H32" s="27" t="s">
        <v>66</v>
      </c>
      <c r="I32" s="25" t="s">
        <v>305</v>
      </c>
      <c r="J32" s="25" t="s">
        <v>306</v>
      </c>
      <c r="K32" s="30">
        <v>0.3137</v>
      </c>
      <c r="L32" s="31">
        <v>59600.0</v>
      </c>
      <c r="M32" s="36">
        <v>0.0</v>
      </c>
      <c r="N32" s="37">
        <v>0.0</v>
      </c>
      <c r="O32" s="37">
        <v>0.0</v>
      </c>
      <c r="P32" s="37">
        <v>0.0</v>
      </c>
      <c r="Q32" s="43">
        <v>0.0</v>
      </c>
      <c r="R32" s="43">
        <v>0.0</v>
      </c>
      <c r="S32" s="43">
        <v>0.0</v>
      </c>
      <c r="T32" s="38">
        <v>8860.0</v>
      </c>
      <c r="U32" s="38">
        <v>860.0</v>
      </c>
      <c r="V32" s="38">
        <v>860.0</v>
      </c>
      <c r="W32" s="38">
        <v>860.0</v>
      </c>
      <c r="X32" s="38">
        <v>860.0</v>
      </c>
      <c r="Y32" s="35"/>
    </row>
    <row r="33">
      <c r="A33" s="4" t="s">
        <v>26</v>
      </c>
      <c r="B33" s="25" t="s">
        <v>307</v>
      </c>
      <c r="C33" s="25" t="s">
        <v>41</v>
      </c>
      <c r="D33" s="45" t="s">
        <v>308</v>
      </c>
      <c r="E33" s="27" t="s">
        <v>60</v>
      </c>
      <c r="F33" s="27" t="s">
        <v>46</v>
      </c>
      <c r="G33" s="29">
        <v>46193.0</v>
      </c>
      <c r="H33" s="27" t="s">
        <v>66</v>
      </c>
      <c r="I33" s="25" t="s">
        <v>309</v>
      </c>
      <c r="J33" s="25" t="s">
        <v>310</v>
      </c>
      <c r="K33" s="30">
        <v>0.3052</v>
      </c>
      <c r="L33" s="31">
        <v>69600.0</v>
      </c>
      <c r="M33" s="36">
        <v>0.0</v>
      </c>
      <c r="N33" s="37">
        <v>0.0</v>
      </c>
      <c r="O33" s="37">
        <v>0.0</v>
      </c>
      <c r="P33" s="37">
        <v>0.0</v>
      </c>
      <c r="Q33" s="43">
        <v>0.0</v>
      </c>
      <c r="R33" s="43">
        <v>0.0</v>
      </c>
      <c r="S33" s="43">
        <v>0.0</v>
      </c>
      <c r="T33" s="43">
        <v>0.0</v>
      </c>
      <c r="U33" s="53">
        <v>12960.0</v>
      </c>
      <c r="V33" s="43">
        <v>960.0</v>
      </c>
      <c r="W33" s="43">
        <v>960.0</v>
      </c>
      <c r="X33" s="43">
        <v>960.0</v>
      </c>
      <c r="Y33" s="35"/>
    </row>
    <row r="34">
      <c r="A34" s="4" t="s">
        <v>26</v>
      </c>
      <c r="B34" s="25" t="s">
        <v>313</v>
      </c>
      <c r="C34" s="25" t="s">
        <v>41</v>
      </c>
      <c r="D34" s="45" t="s">
        <v>314</v>
      </c>
      <c r="E34" s="27" t="s">
        <v>60</v>
      </c>
      <c r="F34" s="27" t="s">
        <v>46</v>
      </c>
      <c r="G34" s="29">
        <v>46193.0</v>
      </c>
      <c r="H34" s="27" t="s">
        <v>66</v>
      </c>
      <c r="I34" s="25" t="s">
        <v>315</v>
      </c>
      <c r="J34" s="25" t="s">
        <v>316</v>
      </c>
      <c r="K34" s="30">
        <v>0.3052</v>
      </c>
      <c r="L34" s="31">
        <v>69600.0</v>
      </c>
      <c r="M34" s="36">
        <v>0.0</v>
      </c>
      <c r="N34" s="37">
        <v>0.0</v>
      </c>
      <c r="O34" s="37">
        <v>0.0</v>
      </c>
      <c r="P34" s="37">
        <v>0.0</v>
      </c>
      <c r="Q34" s="43">
        <v>0.0</v>
      </c>
      <c r="R34" s="43">
        <v>0.0</v>
      </c>
      <c r="S34" s="43">
        <v>0.0</v>
      </c>
      <c r="T34" s="43">
        <v>0.0</v>
      </c>
      <c r="U34" s="53">
        <v>12960.0</v>
      </c>
      <c r="V34" s="43">
        <v>960.0</v>
      </c>
      <c r="W34" s="43">
        <v>960.0</v>
      </c>
      <c r="X34" s="43">
        <v>960.0</v>
      </c>
      <c r="Y34" s="35"/>
    </row>
    <row r="35">
      <c r="A35" s="4" t="s">
        <v>26</v>
      </c>
      <c r="B35" s="25" t="s">
        <v>317</v>
      </c>
      <c r="C35" s="25" t="s">
        <v>41</v>
      </c>
      <c r="D35" s="39" t="s">
        <v>318</v>
      </c>
      <c r="E35" s="27" t="s">
        <v>60</v>
      </c>
      <c r="F35" s="27" t="s">
        <v>62</v>
      </c>
      <c r="G35" s="29">
        <v>46251.0</v>
      </c>
      <c r="H35" s="27" t="s">
        <v>66</v>
      </c>
      <c r="I35" s="25" t="s">
        <v>319</v>
      </c>
      <c r="J35" s="25" t="s">
        <v>320</v>
      </c>
      <c r="K35" s="30">
        <v>0.2747</v>
      </c>
      <c r="L35" s="31">
        <v>250800.0</v>
      </c>
      <c r="M35" s="36">
        <v>0.0</v>
      </c>
      <c r="N35" s="37">
        <v>0.0</v>
      </c>
      <c r="O35" s="37">
        <v>0.0</v>
      </c>
      <c r="P35" s="37">
        <v>0.0</v>
      </c>
      <c r="Q35" s="43">
        <v>0.0</v>
      </c>
      <c r="R35" s="43">
        <v>0.0</v>
      </c>
      <c r="S35" s="43">
        <v>0.0</v>
      </c>
      <c r="T35" s="43">
        <v>0.0</v>
      </c>
      <c r="U35" s="43">
        <f t="shared" ref="U35:X35" si="1">1045*4</f>
        <v>4180</v>
      </c>
      <c r="V35" s="43">
        <f t="shared" si="1"/>
        <v>4180</v>
      </c>
      <c r="W35" s="43">
        <f t="shared" si="1"/>
        <v>4180</v>
      </c>
      <c r="X35" s="43">
        <f t="shared" si="1"/>
        <v>4180</v>
      </c>
      <c r="Y35" s="35"/>
    </row>
    <row r="36">
      <c r="A36" s="4" t="s">
        <v>28</v>
      </c>
      <c r="B36" s="25" t="s">
        <v>324</v>
      </c>
      <c r="C36" s="25" t="s">
        <v>325</v>
      </c>
      <c r="D36" s="39" t="s">
        <v>326</v>
      </c>
      <c r="E36" s="27" t="s">
        <v>60</v>
      </c>
      <c r="F36" s="27" t="s">
        <v>62</v>
      </c>
      <c r="G36" s="29">
        <v>46288.0</v>
      </c>
      <c r="H36" s="27" t="s">
        <v>130</v>
      </c>
      <c r="I36" s="25" t="s">
        <v>327</v>
      </c>
      <c r="J36" s="25" t="s">
        <v>328</v>
      </c>
      <c r="K36" s="30">
        <v>0.2188</v>
      </c>
      <c r="L36" s="31">
        <v>128240.0</v>
      </c>
      <c r="M36" s="36">
        <v>0.0</v>
      </c>
      <c r="N36" s="37">
        <v>0.0</v>
      </c>
      <c r="O36" s="37">
        <v>0.0</v>
      </c>
      <c r="P36" s="37">
        <v>0.0</v>
      </c>
      <c r="Q36" s="43">
        <v>0.0</v>
      </c>
      <c r="R36" s="43">
        <v>0.0</v>
      </c>
      <c r="S36" s="43">
        <v>0.0</v>
      </c>
      <c r="T36" s="43">
        <v>0.0</v>
      </c>
      <c r="U36" s="43">
        <v>0.0</v>
      </c>
      <c r="V36" s="43">
        <f>(2000+835)*4</f>
        <v>11340</v>
      </c>
      <c r="W36" s="43">
        <f t="shared" ref="W36:X36" si="2">835*4</f>
        <v>3340</v>
      </c>
      <c r="X36" s="43">
        <f t="shared" si="2"/>
        <v>3340</v>
      </c>
      <c r="Y36" s="35"/>
    </row>
    <row r="37">
      <c r="A37" s="4" t="s">
        <v>28</v>
      </c>
      <c r="B37" s="25" t="s">
        <v>331</v>
      </c>
      <c r="C37" s="25" t="s">
        <v>69</v>
      </c>
      <c r="D37" s="39" t="s">
        <v>332</v>
      </c>
      <c r="E37" s="27" t="s">
        <v>333</v>
      </c>
      <c r="F37" s="27" t="s">
        <v>334</v>
      </c>
      <c r="G37" s="29">
        <v>46213.0</v>
      </c>
      <c r="H37" s="27" t="s">
        <v>66</v>
      </c>
      <c r="I37" s="25" t="s">
        <v>338</v>
      </c>
      <c r="J37" s="25" t="s">
        <v>339</v>
      </c>
      <c r="K37" s="30">
        <v>0.25</v>
      </c>
      <c r="L37" s="31">
        <v>28000.0</v>
      </c>
      <c r="M37" s="36">
        <v>0.0</v>
      </c>
      <c r="N37" s="37">
        <v>0.0</v>
      </c>
      <c r="O37" s="37">
        <v>0.0</v>
      </c>
      <c r="P37" s="37">
        <v>0.0</v>
      </c>
      <c r="Q37" s="43">
        <v>0.0</v>
      </c>
      <c r="R37" s="43">
        <v>0.0</v>
      </c>
      <c r="S37" s="43">
        <v>0.0</v>
      </c>
      <c r="T37" s="34">
        <f>7000+1750</f>
        <v>8750</v>
      </c>
      <c r="U37" s="34">
        <v>1750.0</v>
      </c>
      <c r="V37" s="34">
        <v>1750.0</v>
      </c>
      <c r="W37" s="34">
        <v>1750.0</v>
      </c>
      <c r="X37" s="34">
        <v>1750.0</v>
      </c>
      <c r="Y37" s="35"/>
    </row>
    <row r="38">
      <c r="A38" s="4" t="s">
        <v>28</v>
      </c>
      <c r="B38" s="25" t="s">
        <v>340</v>
      </c>
      <c r="C38" s="25" t="s">
        <v>41</v>
      </c>
      <c r="D38" s="39" t="s">
        <v>341</v>
      </c>
      <c r="E38" s="27" t="s">
        <v>60</v>
      </c>
      <c r="F38" s="27" t="s">
        <v>46</v>
      </c>
      <c r="G38" s="29">
        <v>46251.0</v>
      </c>
      <c r="H38" s="27" t="s">
        <v>66</v>
      </c>
      <c r="I38" s="25" t="s">
        <v>342</v>
      </c>
      <c r="J38" s="25" t="s">
        <v>343</v>
      </c>
      <c r="K38" s="30">
        <v>0.4051</v>
      </c>
      <c r="L38" s="31">
        <v>16800.0</v>
      </c>
      <c r="M38" s="36">
        <v>0.0</v>
      </c>
      <c r="N38" s="37">
        <v>0.0</v>
      </c>
      <c r="O38" s="37">
        <v>0.0</v>
      </c>
      <c r="P38" s="37">
        <v>0.0</v>
      </c>
      <c r="Q38" s="43">
        <v>0.0</v>
      </c>
      <c r="R38" s="43">
        <v>0.0</v>
      </c>
      <c r="S38" s="43">
        <v>0.0</v>
      </c>
      <c r="T38" s="47">
        <f>(600+60)*4</f>
        <v>2640</v>
      </c>
      <c r="U38" s="47">
        <f>60*4</f>
        <v>240</v>
      </c>
      <c r="V38" s="47">
        <v>240.0</v>
      </c>
      <c r="W38" s="47">
        <v>240.0</v>
      </c>
      <c r="X38" s="47">
        <v>240.0</v>
      </c>
      <c r="Y38" s="35"/>
    </row>
    <row r="39">
      <c r="A39" s="4" t="s">
        <v>29</v>
      </c>
      <c r="B39" s="25" t="s">
        <v>353</v>
      </c>
      <c r="C39" s="25" t="s">
        <v>41</v>
      </c>
      <c r="D39" s="39" t="s">
        <v>354</v>
      </c>
      <c r="E39" s="27" t="s">
        <v>60</v>
      </c>
      <c r="F39" s="27" t="s">
        <v>46</v>
      </c>
      <c r="G39" s="29">
        <v>46259.0</v>
      </c>
      <c r="H39" s="27" t="s">
        <v>130</v>
      </c>
      <c r="I39" s="25" t="s">
        <v>356</v>
      </c>
      <c r="J39" s="55" t="s">
        <v>359</v>
      </c>
      <c r="K39" s="30">
        <v>0.2243</v>
      </c>
      <c r="L39" s="31">
        <v>18000.0</v>
      </c>
      <c r="M39" s="36">
        <v>0.0</v>
      </c>
      <c r="N39" s="37">
        <v>0.0</v>
      </c>
      <c r="O39" s="37">
        <v>0.0</v>
      </c>
      <c r="P39" s="37">
        <v>0.0</v>
      </c>
      <c r="Q39" s="43">
        <v>0.0</v>
      </c>
      <c r="R39" s="43">
        <v>0.0</v>
      </c>
      <c r="S39" s="43">
        <v>0.0</v>
      </c>
      <c r="T39" s="43">
        <v>0.0</v>
      </c>
      <c r="U39" s="43">
        <v>0.0</v>
      </c>
      <c r="V39" s="43">
        <v>18000.0</v>
      </c>
      <c r="W39" s="43">
        <v>0.0</v>
      </c>
      <c r="X39" s="43">
        <v>0.0</v>
      </c>
      <c r="Y39" s="35"/>
    </row>
    <row r="40">
      <c r="A40" s="4" t="s">
        <v>29</v>
      </c>
      <c r="B40" s="25" t="s">
        <v>362</v>
      </c>
      <c r="C40" s="25" t="s">
        <v>41</v>
      </c>
      <c r="D40" s="26" t="s">
        <v>363</v>
      </c>
      <c r="E40" s="27" t="s">
        <v>60</v>
      </c>
      <c r="F40" s="27" t="s">
        <v>62</v>
      </c>
      <c r="G40" s="29">
        <v>46290.0</v>
      </c>
      <c r="H40" s="27" t="s">
        <v>130</v>
      </c>
      <c r="I40" s="25" t="s">
        <v>364</v>
      </c>
      <c r="J40" s="25" t="s">
        <v>365</v>
      </c>
      <c r="K40" s="30">
        <v>0.318</v>
      </c>
      <c r="L40" s="31">
        <v>218000.0</v>
      </c>
      <c r="M40" s="36">
        <v>0.0</v>
      </c>
      <c r="N40" s="37">
        <v>0.0</v>
      </c>
      <c r="O40" s="37">
        <v>0.0</v>
      </c>
      <c r="P40" s="37">
        <v>0.0</v>
      </c>
      <c r="Q40" s="43">
        <v>0.0</v>
      </c>
      <c r="R40" s="43">
        <v>0.0</v>
      </c>
      <c r="S40" s="43">
        <v>0.0</v>
      </c>
      <c r="T40" s="43">
        <v>0.0</v>
      </c>
      <c r="U40" s="43">
        <v>0.0</v>
      </c>
      <c r="V40" s="43">
        <v>5600.0</v>
      </c>
      <c r="W40" s="43">
        <v>3600.0</v>
      </c>
      <c r="X40" s="43">
        <v>3600.0</v>
      </c>
      <c r="Y40" s="35"/>
    </row>
    <row r="41">
      <c r="A41" s="4" t="s">
        <v>29</v>
      </c>
      <c r="B41" s="25" t="s">
        <v>366</v>
      </c>
      <c r="C41" s="25" t="s">
        <v>41</v>
      </c>
      <c r="D41" s="26" t="s">
        <v>367</v>
      </c>
      <c r="E41" s="27" t="s">
        <v>60</v>
      </c>
      <c r="F41" s="27" t="s">
        <v>62</v>
      </c>
      <c r="G41" s="29">
        <v>46290.0</v>
      </c>
      <c r="H41" s="27" t="s">
        <v>130</v>
      </c>
      <c r="I41" s="25" t="s">
        <v>369</v>
      </c>
      <c r="J41" s="25" t="s">
        <v>370</v>
      </c>
      <c r="K41" s="30">
        <v>0.3164</v>
      </c>
      <c r="L41" s="31">
        <v>310400.0</v>
      </c>
      <c r="M41" s="36">
        <v>0.0</v>
      </c>
      <c r="N41" s="37">
        <v>0.0</v>
      </c>
      <c r="O41" s="37">
        <v>0.0</v>
      </c>
      <c r="P41" s="37">
        <v>0.0</v>
      </c>
      <c r="Q41" s="43">
        <v>0.0</v>
      </c>
      <c r="R41" s="43">
        <v>0.0</v>
      </c>
      <c r="S41" s="43">
        <v>0.0</v>
      </c>
      <c r="T41" s="43">
        <v>0.0</v>
      </c>
      <c r="U41" s="43">
        <v>0.0</v>
      </c>
      <c r="V41" s="43">
        <v>7140.0</v>
      </c>
      <c r="W41" s="43">
        <v>5140.0</v>
      </c>
      <c r="X41" s="43">
        <v>5140.0</v>
      </c>
      <c r="Y41" s="35"/>
    </row>
    <row r="42">
      <c r="A42" s="4" t="s">
        <v>29</v>
      </c>
      <c r="B42" s="25" t="s">
        <v>372</v>
      </c>
      <c r="C42" s="25" t="s">
        <v>257</v>
      </c>
      <c r="D42" s="26" t="s">
        <v>373</v>
      </c>
      <c r="E42" s="27" t="s">
        <v>60</v>
      </c>
      <c r="F42" s="27" t="s">
        <v>374</v>
      </c>
      <c r="G42" s="29">
        <v>46265.0</v>
      </c>
      <c r="H42" s="27" t="s">
        <v>66</v>
      </c>
      <c r="I42" s="25" t="s">
        <v>375</v>
      </c>
      <c r="J42" s="55" t="s">
        <v>376</v>
      </c>
      <c r="K42" s="30">
        <v>0.3099</v>
      </c>
      <c r="L42" s="31">
        <v>83180.0</v>
      </c>
      <c r="M42" s="36">
        <v>0.0</v>
      </c>
      <c r="N42" s="37">
        <v>0.0</v>
      </c>
      <c r="O42" s="37">
        <v>0.0</v>
      </c>
      <c r="P42" s="37">
        <v>0.0</v>
      </c>
      <c r="Q42" s="43">
        <v>0.0</v>
      </c>
      <c r="R42" s="43">
        <v>0.0</v>
      </c>
      <c r="S42" s="43">
        <v>0.0</v>
      </c>
      <c r="T42" s="34">
        <f>2000+2255</f>
        <v>4255</v>
      </c>
      <c r="U42" s="34">
        <f t="shared" ref="U42:X42" si="3">2255</f>
        <v>2255</v>
      </c>
      <c r="V42" s="34">
        <f t="shared" si="3"/>
        <v>2255</v>
      </c>
      <c r="W42" s="34">
        <f t="shared" si="3"/>
        <v>2255</v>
      </c>
      <c r="X42" s="34">
        <f t="shared" si="3"/>
        <v>2255</v>
      </c>
      <c r="Y42" s="35"/>
    </row>
    <row r="43">
      <c r="A43" s="4" t="s">
        <v>26</v>
      </c>
      <c r="B43" s="25" t="s">
        <v>379</v>
      </c>
      <c r="C43" s="25" t="s">
        <v>69</v>
      </c>
      <c r="D43" s="26" t="s">
        <v>380</v>
      </c>
      <c r="E43" s="27" t="s">
        <v>60</v>
      </c>
      <c r="F43" s="27" t="s">
        <v>62</v>
      </c>
      <c r="G43" s="29">
        <v>46295.0</v>
      </c>
      <c r="H43" s="27" t="s">
        <v>130</v>
      </c>
      <c r="I43" s="25" t="s">
        <v>381</v>
      </c>
      <c r="J43" s="25" t="s">
        <v>382</v>
      </c>
      <c r="K43" s="30">
        <v>0.2825</v>
      </c>
      <c r="L43" s="31">
        <v>108600.0</v>
      </c>
      <c r="M43" s="36">
        <v>0.0</v>
      </c>
      <c r="N43" s="37">
        <v>0.0</v>
      </c>
      <c r="O43" s="37">
        <v>0.0</v>
      </c>
      <c r="P43" s="37">
        <v>0.0</v>
      </c>
      <c r="Q43" s="43">
        <v>0.0</v>
      </c>
      <c r="R43" s="43">
        <v>0.0</v>
      </c>
      <c r="S43" s="43">
        <v>0.0</v>
      </c>
      <c r="T43" s="43">
        <v>0.0</v>
      </c>
      <c r="U43" s="43">
        <v>0.0</v>
      </c>
      <c r="V43" s="43">
        <v>0.0</v>
      </c>
      <c r="W43" s="43">
        <v>0.0</v>
      </c>
      <c r="X43" s="43">
        <f>6000+8550</f>
        <v>14550</v>
      </c>
      <c r="Y43" s="35"/>
    </row>
    <row r="44">
      <c r="A44" s="4"/>
      <c r="B44" s="25" t="s">
        <v>385</v>
      </c>
      <c r="C44" s="25" t="s">
        <v>41</v>
      </c>
      <c r="D44" s="26" t="s">
        <v>386</v>
      </c>
      <c r="E44" s="27" t="s">
        <v>60</v>
      </c>
      <c r="F44" s="27" t="s">
        <v>46</v>
      </c>
      <c r="G44" s="29">
        <v>46290.0</v>
      </c>
      <c r="H44" s="27" t="s">
        <v>130</v>
      </c>
      <c r="I44" s="25" t="s">
        <v>387</v>
      </c>
      <c r="J44" s="55" t="s">
        <v>388</v>
      </c>
      <c r="K44" s="30">
        <v>0.3668</v>
      </c>
      <c r="L44" s="31">
        <v>44280.0</v>
      </c>
      <c r="M44" s="36">
        <v>0.0</v>
      </c>
      <c r="N44" s="37">
        <v>0.0</v>
      </c>
      <c r="O44" s="37">
        <v>0.0</v>
      </c>
      <c r="P44" s="37">
        <v>0.0</v>
      </c>
      <c r="Q44" s="43">
        <v>0.0</v>
      </c>
      <c r="R44" s="43">
        <v>0.0</v>
      </c>
      <c r="S44" s="43">
        <v>0.0</v>
      </c>
      <c r="T44" s="43">
        <v>0.0</v>
      </c>
      <c r="U44" s="43">
        <v>0.0</v>
      </c>
      <c r="V44" s="43">
        <f>(4350+140)*4</f>
        <v>17960</v>
      </c>
      <c r="W44" s="43">
        <f t="shared" ref="W44:X44" si="4">140*4</f>
        <v>560</v>
      </c>
      <c r="X44" s="43">
        <f t="shared" si="4"/>
        <v>560</v>
      </c>
      <c r="Y44" s="35"/>
    </row>
    <row r="45">
      <c r="A45" s="4"/>
      <c r="B45" s="25" t="s">
        <v>394</v>
      </c>
      <c r="C45" s="25" t="s">
        <v>257</v>
      </c>
      <c r="D45" s="26" t="s">
        <v>396</v>
      </c>
      <c r="E45" s="27" t="s">
        <v>60</v>
      </c>
      <c r="F45" s="27" t="s">
        <v>62</v>
      </c>
      <c r="G45" s="29">
        <v>46339.0</v>
      </c>
      <c r="H45" s="27" t="s">
        <v>130</v>
      </c>
      <c r="I45" s="25" t="s">
        <v>397</v>
      </c>
      <c r="J45" s="55" t="s">
        <v>398</v>
      </c>
      <c r="K45" s="30">
        <v>0.3204</v>
      </c>
      <c r="L45" s="31">
        <v>185600.0</v>
      </c>
      <c r="M45" s="36">
        <v>0.0</v>
      </c>
      <c r="N45" s="37">
        <v>0.0</v>
      </c>
      <c r="O45" s="37">
        <v>0.0</v>
      </c>
      <c r="P45" s="37">
        <v>0.0</v>
      </c>
      <c r="Q45" s="43">
        <v>0.0</v>
      </c>
      <c r="R45" s="43">
        <v>0.0</v>
      </c>
      <c r="S45" s="43">
        <v>0.0</v>
      </c>
      <c r="T45" s="43">
        <v>0.0</v>
      </c>
      <c r="U45" s="43">
        <v>0.0</v>
      </c>
      <c r="V45" s="43">
        <v>0.0</v>
      </c>
      <c r="W45" s="43">
        <v>0.0</v>
      </c>
      <c r="X45" s="43">
        <f>2000+ 5100</f>
        <v>7100</v>
      </c>
      <c r="Y45" s="35"/>
    </row>
    <row r="46">
      <c r="A46" s="4"/>
      <c r="B46" s="25" t="s">
        <v>401</v>
      </c>
      <c r="C46" s="25" t="s">
        <v>41</v>
      </c>
      <c r="D46" s="26" t="s">
        <v>402</v>
      </c>
      <c r="E46" s="27" t="s">
        <v>60</v>
      </c>
      <c r="F46" s="27" t="s">
        <v>46</v>
      </c>
      <c r="G46" s="29">
        <v>46325.0</v>
      </c>
      <c r="H46" s="27" t="s">
        <v>130</v>
      </c>
      <c r="I46" s="25" t="s">
        <v>403</v>
      </c>
      <c r="J46" s="55" t="s">
        <v>404</v>
      </c>
      <c r="K46" s="30">
        <v>0.3449</v>
      </c>
      <c r="L46" s="31">
        <f t="shared" ref="L46:L48" si="5">5840*4</f>
        <v>23360</v>
      </c>
      <c r="M46" s="36">
        <v>0.0</v>
      </c>
      <c r="N46" s="37">
        <v>0.0</v>
      </c>
      <c r="O46" s="37">
        <v>0.0</v>
      </c>
      <c r="P46" s="37">
        <v>0.0</v>
      </c>
      <c r="Q46" s="43">
        <v>0.0</v>
      </c>
      <c r="R46" s="43">
        <v>0.0</v>
      </c>
      <c r="S46" s="43">
        <v>0.0</v>
      </c>
      <c r="T46" s="43">
        <v>0.0</v>
      </c>
      <c r="U46" s="43">
        <v>0.0</v>
      </c>
      <c r="V46" s="43">
        <f>(2000+80)*4</f>
        <v>8320</v>
      </c>
      <c r="W46" s="43">
        <f>80*4</f>
        <v>320</v>
      </c>
      <c r="X46" s="43">
        <v>320.0</v>
      </c>
      <c r="Y46" s="35"/>
    </row>
    <row r="47">
      <c r="A47" s="4"/>
      <c r="B47" s="25" t="s">
        <v>408</v>
      </c>
      <c r="C47" s="25" t="s">
        <v>41</v>
      </c>
      <c r="D47" s="26" t="s">
        <v>409</v>
      </c>
      <c r="E47" s="27" t="s">
        <v>60</v>
      </c>
      <c r="F47" s="27" t="s">
        <v>46</v>
      </c>
      <c r="G47" s="29">
        <v>46325.0</v>
      </c>
      <c r="H47" s="27" t="s">
        <v>130</v>
      </c>
      <c r="I47" s="25" t="s">
        <v>412</v>
      </c>
      <c r="J47" s="55" t="s">
        <v>413</v>
      </c>
      <c r="K47" s="30">
        <v>0.3449</v>
      </c>
      <c r="L47" s="31">
        <f t="shared" si="5"/>
        <v>23360</v>
      </c>
      <c r="M47" s="36">
        <v>0.0</v>
      </c>
      <c r="N47" s="37">
        <v>0.0</v>
      </c>
      <c r="O47" s="37">
        <v>0.0</v>
      </c>
      <c r="P47" s="37">
        <v>0.0</v>
      </c>
      <c r="Q47" s="43">
        <v>0.0</v>
      </c>
      <c r="R47" s="43">
        <v>0.0</v>
      </c>
      <c r="S47" s="43">
        <v>0.0</v>
      </c>
      <c r="T47" s="43">
        <v>0.0</v>
      </c>
      <c r="U47" s="43">
        <v>0.0</v>
      </c>
      <c r="V47" s="43">
        <v>8320.0</v>
      </c>
      <c r="W47" s="43">
        <v>320.0</v>
      </c>
      <c r="X47" s="43">
        <v>320.0</v>
      </c>
      <c r="Y47" s="35"/>
    </row>
    <row r="48">
      <c r="A48" s="4"/>
      <c r="B48" s="25" t="s">
        <v>417</v>
      </c>
      <c r="C48" s="25" t="s">
        <v>41</v>
      </c>
      <c r="D48" s="26" t="s">
        <v>418</v>
      </c>
      <c r="E48" s="27" t="s">
        <v>60</v>
      </c>
      <c r="F48" s="27" t="s">
        <v>46</v>
      </c>
      <c r="G48" s="29">
        <v>46318.0</v>
      </c>
      <c r="H48" s="27" t="s">
        <v>130</v>
      </c>
      <c r="I48" s="61" t="s">
        <v>421</v>
      </c>
      <c r="J48" s="55" t="s">
        <v>422</v>
      </c>
      <c r="K48" s="30">
        <v>0.4783</v>
      </c>
      <c r="L48" s="31">
        <f t="shared" si="5"/>
        <v>23360</v>
      </c>
      <c r="M48" s="36">
        <v>0.0</v>
      </c>
      <c r="N48" s="37">
        <v>0.0</v>
      </c>
      <c r="O48" s="37">
        <v>0.0</v>
      </c>
      <c r="P48" s="37">
        <v>0.0</v>
      </c>
      <c r="Q48" s="43">
        <v>0.0</v>
      </c>
      <c r="R48" s="43">
        <v>0.0</v>
      </c>
      <c r="S48" s="43">
        <v>0.0</v>
      </c>
      <c r="T48" s="43">
        <v>0.0</v>
      </c>
      <c r="U48" s="43">
        <v>0.0</v>
      </c>
      <c r="V48" s="43">
        <f>(2000+80)*4</f>
        <v>8320</v>
      </c>
      <c r="W48" s="43">
        <v>320.0</v>
      </c>
      <c r="X48" s="43">
        <v>320.0</v>
      </c>
      <c r="Y48" s="35"/>
    </row>
    <row r="49">
      <c r="A49" s="4"/>
      <c r="B49" s="25" t="s">
        <v>425</v>
      </c>
      <c r="C49" s="25" t="s">
        <v>41</v>
      </c>
      <c r="D49" s="26" t="s">
        <v>426</v>
      </c>
      <c r="E49" s="27" t="s">
        <v>60</v>
      </c>
      <c r="F49" s="27" t="s">
        <v>46</v>
      </c>
      <c r="G49" s="29">
        <v>46325.0</v>
      </c>
      <c r="H49" s="27" t="s">
        <v>130</v>
      </c>
      <c r="I49" s="25" t="s">
        <v>429</v>
      </c>
      <c r="J49" s="55" t="s">
        <v>430</v>
      </c>
      <c r="K49" s="30">
        <v>0.4496</v>
      </c>
      <c r="L49" s="31">
        <f t="shared" ref="L49:L50" si="7">3180*4</f>
        <v>12720</v>
      </c>
      <c r="M49" s="36">
        <v>0.0</v>
      </c>
      <c r="N49" s="37">
        <v>0.0</v>
      </c>
      <c r="O49" s="37">
        <v>0.0</v>
      </c>
      <c r="P49" s="37">
        <v>0.0</v>
      </c>
      <c r="Q49" s="43">
        <v>0.0</v>
      </c>
      <c r="R49" s="43">
        <v>0.0</v>
      </c>
      <c r="S49" s="43">
        <v>0.0</v>
      </c>
      <c r="T49" s="43">
        <v>0.0</v>
      </c>
      <c r="U49" s="43">
        <v>0.0</v>
      </c>
      <c r="V49" s="43">
        <f t="shared" ref="V49:V50" si="8">(300+60)*4</f>
        <v>1440</v>
      </c>
      <c r="W49" s="43">
        <f t="shared" ref="W49:X49" si="6">60*4</f>
        <v>240</v>
      </c>
      <c r="X49" s="43">
        <f t="shared" si="6"/>
        <v>240</v>
      </c>
      <c r="Y49" s="35"/>
    </row>
    <row r="50">
      <c r="A50" s="4"/>
      <c r="B50" s="25" t="s">
        <v>435</v>
      </c>
      <c r="C50" s="25" t="s">
        <v>41</v>
      </c>
      <c r="D50" s="26" t="s">
        <v>436</v>
      </c>
      <c r="E50" s="27" t="s">
        <v>60</v>
      </c>
      <c r="F50" s="27" t="s">
        <v>46</v>
      </c>
      <c r="G50" s="29">
        <v>46325.0</v>
      </c>
      <c r="H50" s="27" t="s">
        <v>130</v>
      </c>
      <c r="I50" s="25" t="s">
        <v>438</v>
      </c>
      <c r="J50" s="55" t="s">
        <v>440</v>
      </c>
      <c r="K50" s="30">
        <v>0.4496</v>
      </c>
      <c r="L50" s="31">
        <f t="shared" si="7"/>
        <v>12720</v>
      </c>
      <c r="M50" s="36">
        <v>0.0</v>
      </c>
      <c r="N50" s="37">
        <v>0.0</v>
      </c>
      <c r="O50" s="37">
        <v>0.0</v>
      </c>
      <c r="P50" s="37">
        <v>0.0</v>
      </c>
      <c r="Q50" s="43">
        <v>0.0</v>
      </c>
      <c r="R50" s="43">
        <v>0.0</v>
      </c>
      <c r="S50" s="43">
        <v>0.0</v>
      </c>
      <c r="T50" s="43">
        <v>0.0</v>
      </c>
      <c r="U50" s="43">
        <v>0.0</v>
      </c>
      <c r="V50" s="43">
        <f t="shared" si="8"/>
        <v>1440</v>
      </c>
      <c r="W50" s="43">
        <f t="shared" ref="W50:X50" si="9">60*4</f>
        <v>240</v>
      </c>
      <c r="X50" s="43">
        <f t="shared" si="9"/>
        <v>240</v>
      </c>
      <c r="Y50" s="35"/>
    </row>
    <row r="51">
      <c r="A51" s="4"/>
      <c r="B51" s="25" t="s">
        <v>444</v>
      </c>
      <c r="C51" s="25" t="s">
        <v>69</v>
      </c>
      <c r="D51" s="26" t="s">
        <v>445</v>
      </c>
      <c r="E51" s="27" t="s">
        <v>60</v>
      </c>
      <c r="F51" s="27" t="s">
        <v>109</v>
      </c>
      <c r="G51" s="29">
        <v>46266.0</v>
      </c>
      <c r="H51" s="27" t="s">
        <v>66</v>
      </c>
      <c r="I51" s="25" t="s">
        <v>446</v>
      </c>
      <c r="J51" s="55" t="s">
        <v>447</v>
      </c>
      <c r="K51" s="30">
        <v>0.353</v>
      </c>
      <c r="L51" s="31">
        <v>76200.0</v>
      </c>
      <c r="M51" s="36">
        <v>0.0</v>
      </c>
      <c r="N51" s="37">
        <v>0.0</v>
      </c>
      <c r="O51" s="37">
        <v>0.0</v>
      </c>
      <c r="P51" s="37">
        <v>0.0</v>
      </c>
      <c r="Q51" s="43">
        <v>0.0</v>
      </c>
      <c r="R51" s="43">
        <v>0.0</v>
      </c>
      <c r="S51" s="43">
        <v>0.0</v>
      </c>
      <c r="T51" s="43">
        <v>0.0</v>
      </c>
      <c r="U51" s="43">
        <v>6350.0</v>
      </c>
      <c r="V51" s="43">
        <v>6350.0</v>
      </c>
      <c r="W51" s="43">
        <v>6350.0</v>
      </c>
      <c r="X51" s="43">
        <v>6350.0</v>
      </c>
      <c r="Y51" s="35"/>
    </row>
    <row r="52">
      <c r="A52" s="4"/>
      <c r="B52" s="25" t="s">
        <v>449</v>
      </c>
      <c r="C52" s="25" t="s">
        <v>41</v>
      </c>
      <c r="D52" s="26" t="s">
        <v>450</v>
      </c>
      <c r="E52" s="27" t="s">
        <v>60</v>
      </c>
      <c r="F52" s="27" t="s">
        <v>334</v>
      </c>
      <c r="G52" s="29">
        <v>46295.0</v>
      </c>
      <c r="H52" s="27" t="s">
        <v>130</v>
      </c>
      <c r="I52" s="25" t="s">
        <v>451</v>
      </c>
      <c r="J52" s="55" t="s">
        <v>452</v>
      </c>
      <c r="K52" s="30">
        <v>0.3526</v>
      </c>
      <c r="L52" s="31">
        <v>15200.0</v>
      </c>
      <c r="M52" s="36">
        <v>0.0</v>
      </c>
      <c r="N52" s="37">
        <v>0.0</v>
      </c>
      <c r="O52" s="37">
        <v>0.0</v>
      </c>
      <c r="P52" s="37">
        <v>0.0</v>
      </c>
      <c r="Q52" s="43">
        <v>0.0</v>
      </c>
      <c r="R52" s="43">
        <v>0.0</v>
      </c>
      <c r="S52" s="43">
        <v>0.0</v>
      </c>
      <c r="T52" s="43">
        <v>0.0</v>
      </c>
      <c r="U52" s="43">
        <v>0.0</v>
      </c>
      <c r="V52" s="43">
        <f>3800*4</f>
        <v>15200</v>
      </c>
      <c r="W52" s="43">
        <v>0.0</v>
      </c>
      <c r="X52" s="43">
        <v>0.0</v>
      </c>
      <c r="Y52" s="35"/>
    </row>
    <row r="53">
      <c r="A53" s="4"/>
      <c r="B53" s="25" t="s">
        <v>454</v>
      </c>
      <c r="C53" s="25" t="s">
        <v>41</v>
      </c>
      <c r="D53" s="26" t="s">
        <v>458</v>
      </c>
      <c r="E53" s="27" t="s">
        <v>60</v>
      </c>
      <c r="F53" s="27" t="s">
        <v>46</v>
      </c>
      <c r="G53" s="29">
        <v>46346.0</v>
      </c>
      <c r="H53" s="27" t="s">
        <v>130</v>
      </c>
      <c r="I53" s="25" t="s">
        <v>460</v>
      </c>
      <c r="J53" s="55" t="s">
        <v>461</v>
      </c>
      <c r="K53" s="30">
        <v>0.3319</v>
      </c>
      <c r="L53" s="31">
        <v>48200.0</v>
      </c>
      <c r="M53" s="36">
        <v>0.0</v>
      </c>
      <c r="N53" s="37">
        <v>0.0</v>
      </c>
      <c r="O53" s="37">
        <v>0.0</v>
      </c>
      <c r="P53" s="37">
        <v>0.0</v>
      </c>
      <c r="Q53" s="43">
        <v>0.0</v>
      </c>
      <c r="R53" s="43">
        <v>0.0</v>
      </c>
      <c r="S53" s="43">
        <v>0.0</v>
      </c>
      <c r="T53" s="43">
        <v>0.0</v>
      </c>
      <c r="U53" s="43">
        <v>0.0</v>
      </c>
      <c r="V53" s="43">
        <v>0.0</v>
      </c>
      <c r="W53" s="43">
        <f>(4850+120)*4</f>
        <v>19880</v>
      </c>
      <c r="X53" s="43">
        <f>120*4</f>
        <v>480</v>
      </c>
      <c r="Y53" s="35"/>
    </row>
    <row r="54">
      <c r="A54" s="4"/>
      <c r="B54" s="25" t="s">
        <v>468</v>
      </c>
      <c r="C54" s="25" t="s">
        <v>41</v>
      </c>
      <c r="D54" s="62" t="s">
        <v>469</v>
      </c>
      <c r="E54" s="27" t="s">
        <v>60</v>
      </c>
      <c r="F54" s="27" t="s">
        <v>46</v>
      </c>
      <c r="G54" s="29">
        <v>46325.0</v>
      </c>
      <c r="H54" s="27" t="s">
        <v>130</v>
      </c>
      <c r="I54" s="63" t="s">
        <v>471</v>
      </c>
      <c r="J54" s="63" t="s">
        <v>472</v>
      </c>
      <c r="K54" s="30">
        <v>0.3758</v>
      </c>
      <c r="L54" s="31">
        <v>512000.0</v>
      </c>
      <c r="M54" s="36">
        <v>0.0</v>
      </c>
      <c r="N54" s="37">
        <v>0.0</v>
      </c>
      <c r="O54" s="37">
        <v>0.0</v>
      </c>
      <c r="P54" s="37">
        <v>0.0</v>
      </c>
      <c r="Q54" s="43">
        <v>0.0</v>
      </c>
      <c r="R54" s="43">
        <v>0.0</v>
      </c>
      <c r="S54" s="43">
        <v>0.0</v>
      </c>
      <c r="T54" s="43">
        <v>0.0</v>
      </c>
      <c r="U54" s="43">
        <v>0.0</v>
      </c>
      <c r="V54" s="43">
        <v>0.0</v>
      </c>
      <c r="W54" s="43">
        <f>(80000+800)*4</f>
        <v>323200</v>
      </c>
      <c r="X54" s="43">
        <f>800*4</f>
        <v>3200</v>
      </c>
      <c r="Y54" s="35"/>
    </row>
    <row r="55">
      <c r="A55" s="4"/>
      <c r="B55" s="25" t="s">
        <v>473</v>
      </c>
      <c r="C55" s="25" t="s">
        <v>41</v>
      </c>
      <c r="D55" s="62" t="s">
        <v>474</v>
      </c>
      <c r="E55" s="27" t="s">
        <v>60</v>
      </c>
      <c r="F55" s="27" t="s">
        <v>46</v>
      </c>
      <c r="G55" s="29">
        <v>46325.0</v>
      </c>
      <c r="H55" s="27" t="s">
        <v>130</v>
      </c>
      <c r="I55" s="25" t="s">
        <v>475</v>
      </c>
      <c r="J55" s="63" t="s">
        <v>476</v>
      </c>
      <c r="K55" s="30">
        <v>0.4628</v>
      </c>
      <c r="L55" s="31">
        <v>26400.0</v>
      </c>
      <c r="M55" s="36">
        <v>0.0</v>
      </c>
      <c r="N55" s="37">
        <v>0.0</v>
      </c>
      <c r="O55" s="37">
        <v>0.0</v>
      </c>
      <c r="P55" s="37">
        <v>0.0</v>
      </c>
      <c r="Q55" s="43">
        <v>0.0</v>
      </c>
      <c r="R55" s="43">
        <v>0.0</v>
      </c>
      <c r="S55" s="43">
        <v>0.0</v>
      </c>
      <c r="T55" s="43">
        <v>0.0</v>
      </c>
      <c r="U55" s="43">
        <v>0.0</v>
      </c>
      <c r="V55" s="43">
        <v>0.0</v>
      </c>
      <c r="W55" s="43">
        <f>(3000+60)*4</f>
        <v>12240</v>
      </c>
      <c r="X55" s="43">
        <f>60*4</f>
        <v>240</v>
      </c>
      <c r="Y55" s="35"/>
    </row>
    <row r="56">
      <c r="A56" s="4"/>
      <c r="B56" s="25" t="s">
        <v>477</v>
      </c>
      <c r="C56" s="25" t="s">
        <v>41</v>
      </c>
      <c r="D56" s="64" t="s">
        <v>478</v>
      </c>
      <c r="E56" s="27" t="s">
        <v>60</v>
      </c>
      <c r="F56" s="27" t="s">
        <v>46</v>
      </c>
      <c r="G56" s="29">
        <v>46346.0</v>
      </c>
      <c r="H56" s="27" t="s">
        <v>130</v>
      </c>
      <c r="I56" s="25" t="s">
        <v>479</v>
      </c>
      <c r="J56" s="55" t="s">
        <v>480</v>
      </c>
      <c r="K56" s="30">
        <v>0.3582</v>
      </c>
      <c r="L56" s="31">
        <v>19440.0</v>
      </c>
      <c r="M56" s="36">
        <v>0.0</v>
      </c>
      <c r="N56" s="37">
        <v>0.0</v>
      </c>
      <c r="O56" s="37">
        <v>0.0</v>
      </c>
      <c r="P56" s="37">
        <v>0.0</v>
      </c>
      <c r="Q56" s="43">
        <v>0.0</v>
      </c>
      <c r="R56" s="43">
        <v>0.0</v>
      </c>
      <c r="S56" s="43">
        <v>0.0</v>
      </c>
      <c r="T56" s="43">
        <v>0.0</v>
      </c>
      <c r="U56" s="43">
        <v>0.0</v>
      </c>
      <c r="V56" s="43">
        <v>0.0</v>
      </c>
      <c r="W56" s="43">
        <f t="shared" ref="W56:W57" si="10">(1500+70)*4</f>
        <v>6280</v>
      </c>
      <c r="X56" s="43">
        <f t="shared" ref="X56:X57" si="11">70*4</f>
        <v>280</v>
      </c>
      <c r="Y56" s="35"/>
    </row>
    <row r="57">
      <c r="A57" s="4"/>
      <c r="B57" s="25" t="s">
        <v>481</v>
      </c>
      <c r="C57" s="25" t="s">
        <v>41</v>
      </c>
      <c r="D57" s="64" t="s">
        <v>482</v>
      </c>
      <c r="E57" s="27" t="s">
        <v>60</v>
      </c>
      <c r="F57" s="27" t="s">
        <v>46</v>
      </c>
      <c r="G57" s="29">
        <v>46346.0</v>
      </c>
      <c r="H57" s="27" t="s">
        <v>130</v>
      </c>
      <c r="I57" s="25" t="s">
        <v>483</v>
      </c>
      <c r="J57" s="55" t="s">
        <v>484</v>
      </c>
      <c r="K57" s="30">
        <v>0.3582</v>
      </c>
      <c r="L57" s="31">
        <v>19440.0</v>
      </c>
      <c r="M57" s="36">
        <v>0.0</v>
      </c>
      <c r="N57" s="37">
        <v>0.0</v>
      </c>
      <c r="O57" s="37">
        <v>0.0</v>
      </c>
      <c r="P57" s="37">
        <v>0.0</v>
      </c>
      <c r="Q57" s="43">
        <v>0.0</v>
      </c>
      <c r="R57" s="43">
        <v>0.0</v>
      </c>
      <c r="S57" s="43">
        <v>0.0</v>
      </c>
      <c r="T57" s="43">
        <v>0.0</v>
      </c>
      <c r="U57" s="43">
        <v>0.0</v>
      </c>
      <c r="V57" s="43">
        <v>0.0</v>
      </c>
      <c r="W57" s="43">
        <f t="shared" si="10"/>
        <v>6280</v>
      </c>
      <c r="X57" s="43">
        <f t="shared" si="11"/>
        <v>280</v>
      </c>
      <c r="Y57" s="35"/>
    </row>
    <row r="58">
      <c r="A58" s="4"/>
      <c r="B58" s="25">
        <v>1.0</v>
      </c>
      <c r="C58" s="25" t="s">
        <v>41</v>
      </c>
      <c r="D58" s="62" t="s">
        <v>485</v>
      </c>
      <c r="E58" s="27" t="s">
        <v>60</v>
      </c>
      <c r="F58" s="27" t="s">
        <v>46</v>
      </c>
      <c r="G58" s="29">
        <v>46327.0</v>
      </c>
      <c r="H58" s="27" t="s">
        <v>486</v>
      </c>
      <c r="I58" s="25" t="s">
        <v>487</v>
      </c>
      <c r="J58" s="63" t="s">
        <v>488</v>
      </c>
      <c r="K58" s="30">
        <v>0.3655</v>
      </c>
      <c r="L58" s="31">
        <v>113200.0</v>
      </c>
      <c r="M58" s="36">
        <v>0.0</v>
      </c>
      <c r="N58" s="37">
        <v>0.0</v>
      </c>
      <c r="O58" s="37">
        <v>0.0</v>
      </c>
      <c r="P58" s="37">
        <v>0.0</v>
      </c>
      <c r="Q58" s="43">
        <v>0.0</v>
      </c>
      <c r="R58" s="43">
        <v>0.0</v>
      </c>
      <c r="S58" s="43">
        <v>0.0</v>
      </c>
      <c r="T58" s="43">
        <v>0.0</v>
      </c>
      <c r="U58" s="43">
        <v>0.0</v>
      </c>
      <c r="V58" s="43">
        <v>0.0</v>
      </c>
      <c r="W58" s="43">
        <f>(10000+195)*4</f>
        <v>40780</v>
      </c>
      <c r="X58" s="43">
        <f>195*4</f>
        <v>780</v>
      </c>
      <c r="Y58" s="35"/>
    </row>
    <row r="59">
      <c r="A59" s="4"/>
      <c r="B59" s="25">
        <v>2.0</v>
      </c>
      <c r="C59" s="25" t="s">
        <v>27</v>
      </c>
      <c r="D59" s="64" t="s">
        <v>489</v>
      </c>
      <c r="E59" s="27" t="s">
        <v>45</v>
      </c>
      <c r="F59" s="27" t="s">
        <v>109</v>
      </c>
      <c r="G59" s="29">
        <v>46327.0</v>
      </c>
      <c r="H59" s="27" t="s">
        <v>486</v>
      </c>
      <c r="I59" s="25" t="s">
        <v>490</v>
      </c>
      <c r="J59" s="55" t="s">
        <v>491</v>
      </c>
      <c r="K59" s="30">
        <v>0.4645</v>
      </c>
      <c r="L59" s="31">
        <v>145740.0</v>
      </c>
      <c r="M59" s="36">
        <v>0.0</v>
      </c>
      <c r="N59" s="37">
        <v>0.0</v>
      </c>
      <c r="O59" s="37">
        <v>0.0</v>
      </c>
      <c r="P59" s="37">
        <v>0.0</v>
      </c>
      <c r="Q59" s="43">
        <v>0.0</v>
      </c>
      <c r="R59" s="43">
        <v>0.0</v>
      </c>
      <c r="S59" s="43">
        <v>0.0</v>
      </c>
      <c r="T59" s="43">
        <v>0.0</v>
      </c>
      <c r="U59" s="43">
        <v>0.0</v>
      </c>
      <c r="V59" s="43">
        <v>6072.5</v>
      </c>
      <c r="W59" s="43">
        <v>6072.5</v>
      </c>
      <c r="X59" s="43">
        <v>6072.5</v>
      </c>
      <c r="Y59" s="35"/>
    </row>
    <row r="60">
      <c r="A60" s="65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</row>
    <row r="61">
      <c r="A61" s="65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</row>
    <row r="62">
      <c r="A62" s="65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</row>
    <row r="63">
      <c r="A63" s="65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</row>
    <row r="64">
      <c r="A64" s="65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</row>
    <row r="65">
      <c r="A65" s="65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</row>
    <row r="66">
      <c r="A66" s="65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</row>
    <row r="67">
      <c r="A67" s="65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</row>
    <row r="68">
      <c r="A68" s="65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</row>
    <row r="69">
      <c r="A69" s="65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</row>
    <row r="70">
      <c r="A70" s="65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</row>
    <row r="71">
      <c r="A71" s="65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</row>
    <row r="72">
      <c r="A72" s="65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</row>
    <row r="73">
      <c r="A73" s="65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</row>
    <row r="74">
      <c r="A74" s="65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</row>
    <row r="75">
      <c r="A75" s="65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</row>
    <row r="76">
      <c r="A76" s="65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</row>
    <row r="77">
      <c r="A77" s="65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</row>
    <row r="78">
      <c r="A78" s="65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</row>
    <row r="79">
      <c r="A79" s="65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</row>
    <row r="80">
      <c r="A80" s="65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</row>
    <row r="81">
      <c r="A81" s="65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</row>
    <row r="82">
      <c r="A82" s="65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</row>
    <row r="83">
      <c r="A83" s="65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</row>
    <row r="84">
      <c r="A84" s="65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</row>
    <row r="85">
      <c r="A85" s="65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</row>
    <row r="86">
      <c r="A86" s="65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</row>
    <row r="87">
      <c r="A87" s="65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</row>
    <row r="88">
      <c r="A88" s="65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</row>
    <row r="89">
      <c r="A89" s="65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</row>
    <row r="90">
      <c r="A90" s="65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</row>
    <row r="91">
      <c r="A91" s="65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</row>
    <row r="92">
      <c r="A92" s="65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</row>
    <row r="93">
      <c r="A93" s="65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</row>
    <row r="94">
      <c r="A94" s="65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</row>
    <row r="95">
      <c r="A95" s="65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</row>
    <row r="96">
      <c r="A96" s="65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</row>
    <row r="97">
      <c r="A97" s="65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</row>
    <row r="98">
      <c r="A98" s="65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</row>
    <row r="99">
      <c r="A99" s="65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</row>
    <row r="100">
      <c r="A100" s="65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</row>
    <row r="101">
      <c r="A101" s="65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</row>
    <row r="102">
      <c r="A102" s="65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</row>
    <row r="103">
      <c r="A103" s="65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</row>
    <row r="104">
      <c r="A104" s="65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</row>
    <row r="105">
      <c r="A105" s="65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</row>
    <row r="106">
      <c r="A106" s="65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</row>
    <row r="107">
      <c r="A107" s="65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</row>
    <row r="108">
      <c r="A108" s="65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</row>
    <row r="109">
      <c r="A109" s="65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</row>
    <row r="110">
      <c r="A110" s="65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</row>
    <row r="111">
      <c r="A111" s="65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</row>
    <row r="112">
      <c r="A112" s="65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</row>
    <row r="113">
      <c r="A113" s="65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</row>
    <row r="114">
      <c r="A114" s="65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</row>
    <row r="115">
      <c r="A115" s="65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</row>
    <row r="116">
      <c r="A116" s="65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</row>
    <row r="117">
      <c r="A117" s="65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</row>
    <row r="118">
      <c r="A118" s="65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</row>
    <row r="119">
      <c r="A119" s="65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</row>
    <row r="120">
      <c r="A120" s="65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</row>
    <row r="121">
      <c r="A121" s="65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</row>
    <row r="122">
      <c r="A122" s="65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</row>
    <row r="123">
      <c r="A123" s="65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</row>
    <row r="124">
      <c r="A124" s="65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</row>
    <row r="125">
      <c r="A125" s="65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</row>
    <row r="126">
      <c r="A126" s="65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</row>
    <row r="127">
      <c r="A127" s="65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</row>
    <row r="128">
      <c r="A128" s="65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</row>
    <row r="129">
      <c r="A129" s="65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</row>
    <row r="130">
      <c r="A130" s="65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</row>
    <row r="131">
      <c r="A131" s="65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</row>
    <row r="132">
      <c r="A132" s="65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</row>
    <row r="133">
      <c r="A133" s="65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</row>
    <row r="134">
      <c r="A134" s="65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</row>
    <row r="135">
      <c r="A135" s="65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</row>
    <row r="136">
      <c r="A136" s="65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</row>
    <row r="137">
      <c r="A137" s="65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</row>
    <row r="138">
      <c r="A138" s="65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</row>
    <row r="139">
      <c r="A139" s="65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</row>
    <row r="140">
      <c r="A140" s="65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</row>
    <row r="141">
      <c r="A141" s="65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</row>
    <row r="142">
      <c r="A142" s="65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</row>
    <row r="143">
      <c r="A143" s="65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</row>
    <row r="144">
      <c r="A144" s="65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</row>
    <row r="145">
      <c r="A145" s="65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</row>
    <row r="146">
      <c r="A146" s="65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</row>
    <row r="147">
      <c r="A147" s="65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</row>
    <row r="148">
      <c r="A148" s="65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</row>
    <row r="149">
      <c r="A149" s="65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</row>
    <row r="150">
      <c r="A150" s="65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</row>
    <row r="151">
      <c r="A151" s="65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</row>
    <row r="152">
      <c r="A152" s="65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</row>
    <row r="153">
      <c r="A153" s="65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</row>
    <row r="154">
      <c r="A154" s="65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</row>
    <row r="155">
      <c r="A155" s="65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</row>
    <row r="156">
      <c r="A156" s="65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</row>
    <row r="157">
      <c r="A157" s="65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</row>
    <row r="158">
      <c r="A158" s="65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</row>
    <row r="159">
      <c r="A159" s="65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</row>
    <row r="160">
      <c r="A160" s="65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</row>
    <row r="161">
      <c r="A161" s="65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</row>
    <row r="162">
      <c r="A162" s="65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</row>
    <row r="163">
      <c r="A163" s="65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</row>
    <row r="164">
      <c r="A164" s="65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</row>
    <row r="165">
      <c r="A165" s="65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</row>
    <row r="166">
      <c r="A166" s="65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</row>
    <row r="167">
      <c r="A167" s="65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</row>
    <row r="168">
      <c r="A168" s="65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</row>
    <row r="169">
      <c r="A169" s="65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</row>
    <row r="170">
      <c r="A170" s="65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</row>
    <row r="171">
      <c r="A171" s="65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</row>
    <row r="172">
      <c r="A172" s="65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</row>
    <row r="173">
      <c r="A173" s="65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</row>
    <row r="174">
      <c r="A174" s="65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</row>
    <row r="175">
      <c r="A175" s="65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</row>
    <row r="176">
      <c r="A176" s="65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</row>
    <row r="177">
      <c r="A177" s="65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</row>
    <row r="178">
      <c r="A178" s="65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</row>
    <row r="179">
      <c r="A179" s="65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</row>
    <row r="180">
      <c r="A180" s="65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</row>
    <row r="181">
      <c r="A181" s="65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</row>
    <row r="182">
      <c r="A182" s="65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</row>
    <row r="183">
      <c r="A183" s="65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</row>
    <row r="184">
      <c r="A184" s="65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</row>
    <row r="185">
      <c r="A185" s="65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</row>
    <row r="186">
      <c r="A186" s="65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</row>
    <row r="187">
      <c r="A187" s="65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</row>
    <row r="188">
      <c r="A188" s="65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</row>
    <row r="189">
      <c r="A189" s="65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</row>
    <row r="190">
      <c r="A190" s="65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</row>
    <row r="191">
      <c r="A191" s="65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</row>
    <row r="192">
      <c r="A192" s="65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</row>
    <row r="193">
      <c r="A193" s="65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</row>
    <row r="194">
      <c r="A194" s="65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</row>
    <row r="195">
      <c r="A195" s="65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</row>
    <row r="196">
      <c r="A196" s="65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</row>
    <row r="197">
      <c r="A197" s="65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</row>
    <row r="198">
      <c r="A198" s="65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</row>
    <row r="199">
      <c r="A199" s="65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</row>
    <row r="200">
      <c r="A200" s="65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</row>
    <row r="201">
      <c r="A201" s="65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</row>
    <row r="202">
      <c r="A202" s="65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</row>
    <row r="203">
      <c r="A203" s="65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</row>
    <row r="204">
      <c r="A204" s="65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</row>
    <row r="205">
      <c r="A205" s="65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</row>
    <row r="206">
      <c r="A206" s="65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</row>
    <row r="207">
      <c r="A207" s="65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</row>
    <row r="208">
      <c r="A208" s="65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</row>
    <row r="209">
      <c r="A209" s="65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</row>
    <row r="210">
      <c r="A210" s="65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</row>
    <row r="211">
      <c r="A211" s="65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</row>
    <row r="212">
      <c r="A212" s="65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</row>
    <row r="213">
      <c r="A213" s="65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</row>
    <row r="214">
      <c r="A214" s="65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</row>
    <row r="215">
      <c r="A215" s="65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</row>
    <row r="216">
      <c r="A216" s="65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</row>
    <row r="217">
      <c r="A217" s="65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</row>
    <row r="218">
      <c r="A218" s="65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</row>
    <row r="219">
      <c r="A219" s="65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</row>
    <row r="220">
      <c r="A220" s="65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</row>
    <row r="221">
      <c r="A221" s="65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</row>
    <row r="222">
      <c r="A222" s="65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</row>
    <row r="223">
      <c r="A223" s="65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</row>
    <row r="224">
      <c r="A224" s="65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</row>
    <row r="225">
      <c r="A225" s="65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</row>
    <row r="226">
      <c r="A226" s="65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</row>
    <row r="227">
      <c r="A227" s="65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</row>
    <row r="228">
      <c r="A228" s="65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</row>
    <row r="229">
      <c r="A229" s="65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</row>
    <row r="230">
      <c r="A230" s="65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</row>
    <row r="231">
      <c r="A231" s="65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</row>
    <row r="232">
      <c r="A232" s="65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</row>
    <row r="233">
      <c r="A233" s="65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</row>
    <row r="234">
      <c r="A234" s="65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</row>
    <row r="235">
      <c r="A235" s="65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</row>
    <row r="236">
      <c r="A236" s="65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</row>
    <row r="237">
      <c r="A237" s="65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</row>
    <row r="238">
      <c r="A238" s="65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</row>
    <row r="239">
      <c r="A239" s="65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</row>
    <row r="240">
      <c r="A240" s="65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</row>
    <row r="241">
      <c r="A241" s="65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</row>
    <row r="242">
      <c r="A242" s="65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</row>
    <row r="243">
      <c r="A243" s="65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</row>
    <row r="244">
      <c r="A244" s="65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</row>
    <row r="245">
      <c r="A245" s="65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</row>
    <row r="246">
      <c r="A246" s="65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</row>
    <row r="247">
      <c r="A247" s="65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</row>
    <row r="248">
      <c r="A248" s="65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</row>
    <row r="249">
      <c r="A249" s="65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</row>
    <row r="250">
      <c r="A250" s="65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</row>
    <row r="251">
      <c r="A251" s="65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</row>
    <row r="252">
      <c r="A252" s="65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</row>
    <row r="253">
      <c r="A253" s="65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</row>
    <row r="254">
      <c r="A254" s="65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</row>
    <row r="255">
      <c r="A255" s="65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</row>
    <row r="256">
      <c r="A256" s="65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</row>
    <row r="257">
      <c r="A257" s="65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</row>
    <row r="258">
      <c r="A258" s="65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</row>
    <row r="259">
      <c r="A259" s="65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</row>
    <row r="260">
      <c r="A260" s="65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</row>
    <row r="261">
      <c r="A261" s="65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</row>
    <row r="262">
      <c r="A262" s="65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</row>
    <row r="263">
      <c r="A263" s="65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</row>
    <row r="264">
      <c r="A264" s="65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</row>
    <row r="265">
      <c r="A265" s="65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</row>
    <row r="266">
      <c r="A266" s="65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</row>
    <row r="267">
      <c r="A267" s="65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</row>
    <row r="268">
      <c r="A268" s="65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</row>
    <row r="269">
      <c r="A269" s="65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</row>
    <row r="270">
      <c r="A270" s="65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</row>
    <row r="271">
      <c r="A271" s="65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</row>
    <row r="272">
      <c r="A272" s="65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</row>
    <row r="273">
      <c r="A273" s="65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</row>
    <row r="274">
      <c r="A274" s="65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</row>
    <row r="275">
      <c r="A275" s="65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</row>
    <row r="276">
      <c r="A276" s="65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</row>
    <row r="277">
      <c r="A277" s="65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</row>
    <row r="278">
      <c r="A278" s="65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</row>
    <row r="279">
      <c r="A279" s="65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</row>
    <row r="280">
      <c r="A280" s="65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</row>
    <row r="281">
      <c r="A281" s="65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</row>
    <row r="282">
      <c r="A282" s="65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</row>
    <row r="283">
      <c r="A283" s="65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</row>
    <row r="284">
      <c r="A284" s="65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</row>
    <row r="285">
      <c r="A285" s="65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</row>
    <row r="286">
      <c r="A286" s="65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</row>
    <row r="287">
      <c r="A287" s="65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</row>
    <row r="288">
      <c r="A288" s="65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</row>
    <row r="289">
      <c r="A289" s="65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</row>
    <row r="290">
      <c r="A290" s="65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</row>
    <row r="291">
      <c r="A291" s="65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</row>
    <row r="292">
      <c r="A292" s="65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</row>
    <row r="293">
      <c r="A293" s="65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</row>
    <row r="294">
      <c r="A294" s="65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</row>
    <row r="295">
      <c r="A295" s="65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</row>
    <row r="296">
      <c r="A296" s="65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</row>
    <row r="297">
      <c r="A297" s="65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</row>
    <row r="298">
      <c r="A298" s="65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</row>
    <row r="299">
      <c r="A299" s="65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</row>
    <row r="300">
      <c r="A300" s="65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</row>
    <row r="301">
      <c r="A301" s="65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</row>
    <row r="302">
      <c r="A302" s="65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</row>
    <row r="303">
      <c r="A303" s="65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</row>
    <row r="304">
      <c r="A304" s="65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</row>
    <row r="305">
      <c r="A305" s="65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</row>
    <row r="306">
      <c r="A306" s="65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</row>
    <row r="307">
      <c r="A307" s="65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</row>
    <row r="308">
      <c r="A308" s="65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</row>
    <row r="309">
      <c r="A309" s="65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</row>
    <row r="310">
      <c r="A310" s="65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</row>
    <row r="311">
      <c r="A311" s="65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</row>
    <row r="312">
      <c r="A312" s="65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</row>
    <row r="313">
      <c r="A313" s="65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</row>
    <row r="314">
      <c r="A314" s="65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</row>
    <row r="315">
      <c r="A315" s="65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</row>
    <row r="316">
      <c r="A316" s="65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</row>
    <row r="317">
      <c r="A317" s="65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</row>
    <row r="318">
      <c r="A318" s="65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</row>
    <row r="319">
      <c r="A319" s="65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</row>
    <row r="320">
      <c r="A320" s="65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</row>
    <row r="321">
      <c r="A321" s="65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</row>
    <row r="322">
      <c r="A322" s="65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</row>
    <row r="323">
      <c r="A323" s="65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</row>
    <row r="324">
      <c r="A324" s="65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</row>
    <row r="325">
      <c r="A325" s="65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</row>
    <row r="326">
      <c r="A326" s="65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</row>
    <row r="327">
      <c r="A327" s="65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</row>
    <row r="328">
      <c r="A328" s="65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</row>
    <row r="329">
      <c r="A329" s="65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</row>
    <row r="330">
      <c r="A330" s="65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</row>
    <row r="331">
      <c r="A331" s="65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</row>
    <row r="332">
      <c r="A332" s="65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</row>
    <row r="333">
      <c r="A333" s="65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</row>
    <row r="334">
      <c r="A334" s="65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</row>
    <row r="335">
      <c r="A335" s="65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</row>
    <row r="336">
      <c r="A336" s="65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</row>
    <row r="337">
      <c r="A337" s="65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</row>
    <row r="338">
      <c r="A338" s="65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</row>
    <row r="339">
      <c r="A339" s="65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</row>
    <row r="340">
      <c r="A340" s="65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</row>
    <row r="341">
      <c r="A341" s="65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</row>
    <row r="342">
      <c r="A342" s="65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</row>
    <row r="343">
      <c r="A343" s="65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</row>
    <row r="344">
      <c r="A344" s="65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</row>
    <row r="345">
      <c r="A345" s="65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</row>
    <row r="346">
      <c r="A346" s="65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</row>
    <row r="347">
      <c r="A347" s="65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</row>
    <row r="348">
      <c r="A348" s="65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</row>
    <row r="349">
      <c r="A349" s="65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</row>
    <row r="350">
      <c r="A350" s="65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</row>
    <row r="351">
      <c r="A351" s="65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</row>
    <row r="352">
      <c r="A352" s="65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</row>
    <row r="353">
      <c r="A353" s="65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</row>
    <row r="354">
      <c r="A354" s="65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</row>
    <row r="355">
      <c r="A355" s="65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</row>
    <row r="356">
      <c r="A356" s="65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</row>
    <row r="357">
      <c r="A357" s="65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</row>
    <row r="358">
      <c r="A358" s="65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</row>
    <row r="359">
      <c r="A359" s="65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</row>
    <row r="360">
      <c r="A360" s="65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</row>
    <row r="361">
      <c r="A361" s="65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</row>
    <row r="362">
      <c r="A362" s="65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</row>
    <row r="363">
      <c r="A363" s="65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</row>
    <row r="364">
      <c r="A364" s="65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</row>
    <row r="365">
      <c r="A365" s="65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</row>
    <row r="366">
      <c r="A366" s="65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</row>
    <row r="367">
      <c r="A367" s="65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</row>
    <row r="368">
      <c r="A368" s="65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</row>
    <row r="369">
      <c r="A369" s="65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</row>
    <row r="370">
      <c r="A370" s="65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</row>
    <row r="371">
      <c r="A371" s="65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</row>
    <row r="372">
      <c r="A372" s="65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</row>
    <row r="373">
      <c r="A373" s="65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</row>
    <row r="374">
      <c r="A374" s="65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</row>
    <row r="375">
      <c r="A375" s="65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</row>
    <row r="376">
      <c r="A376" s="65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</row>
    <row r="377">
      <c r="A377" s="65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</row>
    <row r="378">
      <c r="A378" s="65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</row>
    <row r="379">
      <c r="A379" s="65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</row>
    <row r="380">
      <c r="A380" s="65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</row>
    <row r="381">
      <c r="A381" s="65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</row>
    <row r="382">
      <c r="A382" s="65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</row>
    <row r="383">
      <c r="A383" s="65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</row>
    <row r="384">
      <c r="A384" s="65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</row>
    <row r="385">
      <c r="A385" s="65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</row>
    <row r="386">
      <c r="A386" s="65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</row>
    <row r="387">
      <c r="A387" s="65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</row>
    <row r="388">
      <c r="A388" s="65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</row>
    <row r="389">
      <c r="A389" s="65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</row>
    <row r="390">
      <c r="A390" s="65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</row>
    <row r="391">
      <c r="A391" s="65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</row>
    <row r="392">
      <c r="A392" s="65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</row>
    <row r="393">
      <c r="A393" s="65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</row>
    <row r="394">
      <c r="A394" s="65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</row>
    <row r="395">
      <c r="A395" s="65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</row>
    <row r="396">
      <c r="A396" s="65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</row>
    <row r="397">
      <c r="A397" s="65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</row>
    <row r="398">
      <c r="A398" s="65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</row>
    <row r="399">
      <c r="A399" s="65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</row>
    <row r="400">
      <c r="A400" s="65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</row>
    <row r="401">
      <c r="A401" s="65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</row>
    <row r="402">
      <c r="A402" s="65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</row>
    <row r="403">
      <c r="A403" s="65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</row>
    <row r="404">
      <c r="A404" s="65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</row>
    <row r="405">
      <c r="A405" s="65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</row>
    <row r="406">
      <c r="A406" s="65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</row>
    <row r="407">
      <c r="A407" s="65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</row>
    <row r="408">
      <c r="A408" s="65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</row>
    <row r="409">
      <c r="A409" s="65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</row>
    <row r="410">
      <c r="A410" s="65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</row>
    <row r="411">
      <c r="A411" s="65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</row>
    <row r="412">
      <c r="A412" s="65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</row>
    <row r="413">
      <c r="A413" s="65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</row>
    <row r="414">
      <c r="A414" s="65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</row>
    <row r="415">
      <c r="A415" s="65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</row>
    <row r="416">
      <c r="A416" s="65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</row>
    <row r="417">
      <c r="A417" s="65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</row>
    <row r="418">
      <c r="A418" s="65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</row>
    <row r="419">
      <c r="A419" s="65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</row>
    <row r="420">
      <c r="A420" s="65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</row>
    <row r="421">
      <c r="A421" s="65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</row>
    <row r="422">
      <c r="A422" s="65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</row>
    <row r="423">
      <c r="A423" s="65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</row>
    <row r="424">
      <c r="A424" s="65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</row>
    <row r="425">
      <c r="A425" s="65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</row>
    <row r="426">
      <c r="A426" s="65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</row>
    <row r="427">
      <c r="A427" s="65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</row>
    <row r="428">
      <c r="A428" s="65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</row>
    <row r="429">
      <c r="A429" s="65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</row>
    <row r="430">
      <c r="A430" s="65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</row>
    <row r="431">
      <c r="A431" s="65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</row>
    <row r="432">
      <c r="A432" s="65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</row>
    <row r="433">
      <c r="A433" s="65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</row>
    <row r="434">
      <c r="A434" s="65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</row>
    <row r="435">
      <c r="A435" s="65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</row>
    <row r="436">
      <c r="A436" s="65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</row>
    <row r="437">
      <c r="A437" s="65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</row>
    <row r="438">
      <c r="A438" s="65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</row>
    <row r="439">
      <c r="A439" s="65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</row>
    <row r="440">
      <c r="A440" s="65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</row>
    <row r="441">
      <c r="A441" s="65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</row>
    <row r="442">
      <c r="A442" s="65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</row>
    <row r="443">
      <c r="A443" s="65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</row>
    <row r="444">
      <c r="A444" s="65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</row>
    <row r="445">
      <c r="A445" s="65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</row>
    <row r="446">
      <c r="A446" s="65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</row>
    <row r="447">
      <c r="A447" s="65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</row>
    <row r="448">
      <c r="A448" s="65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</row>
    <row r="449">
      <c r="A449" s="65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</row>
    <row r="450">
      <c r="A450" s="65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</row>
    <row r="451">
      <c r="A451" s="65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</row>
    <row r="452">
      <c r="A452" s="65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</row>
    <row r="453">
      <c r="A453" s="65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</row>
    <row r="454">
      <c r="A454" s="65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</row>
    <row r="455">
      <c r="A455" s="65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</row>
    <row r="456">
      <c r="A456" s="65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</row>
    <row r="457">
      <c r="A457" s="65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</row>
    <row r="458">
      <c r="A458" s="65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</row>
    <row r="459">
      <c r="A459" s="65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</row>
    <row r="460">
      <c r="A460" s="65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</row>
    <row r="461">
      <c r="A461" s="65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</row>
    <row r="462">
      <c r="A462" s="65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</row>
    <row r="463">
      <c r="A463" s="65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</row>
    <row r="464">
      <c r="A464" s="65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</row>
    <row r="465">
      <c r="A465" s="65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</row>
    <row r="466">
      <c r="A466" s="65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</row>
    <row r="467">
      <c r="A467" s="65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</row>
    <row r="468">
      <c r="A468" s="65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</row>
    <row r="469">
      <c r="A469" s="65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</row>
    <row r="470">
      <c r="A470" s="65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</row>
    <row r="471">
      <c r="A471" s="65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</row>
    <row r="472">
      <c r="A472" s="65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</row>
    <row r="473">
      <c r="A473" s="65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</row>
    <row r="474">
      <c r="A474" s="65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</row>
    <row r="475">
      <c r="A475" s="65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</row>
    <row r="476">
      <c r="A476" s="65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</row>
    <row r="477">
      <c r="A477" s="65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</row>
    <row r="478">
      <c r="A478" s="65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</row>
    <row r="479">
      <c r="A479" s="65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</row>
    <row r="480">
      <c r="A480" s="65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</row>
    <row r="481">
      <c r="A481" s="65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</row>
    <row r="482">
      <c r="A482" s="65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</row>
    <row r="483">
      <c r="A483" s="65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</row>
    <row r="484">
      <c r="A484" s="65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</row>
    <row r="485">
      <c r="A485" s="65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</row>
    <row r="486">
      <c r="A486" s="65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</row>
    <row r="487">
      <c r="A487" s="65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</row>
    <row r="488">
      <c r="A488" s="65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</row>
    <row r="489">
      <c r="A489" s="65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</row>
    <row r="490">
      <c r="A490" s="65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</row>
    <row r="491">
      <c r="A491" s="65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</row>
    <row r="492">
      <c r="A492" s="65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</row>
    <row r="493">
      <c r="A493" s="65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</row>
    <row r="494">
      <c r="A494" s="65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</row>
    <row r="495">
      <c r="A495" s="65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</row>
    <row r="496">
      <c r="A496" s="65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</row>
    <row r="497">
      <c r="A497" s="65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</row>
    <row r="498">
      <c r="A498" s="65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</row>
    <row r="499">
      <c r="A499" s="65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</row>
    <row r="500">
      <c r="A500" s="65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</row>
    <row r="501">
      <c r="A501" s="65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</row>
    <row r="502">
      <c r="A502" s="65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</row>
    <row r="503">
      <c r="A503" s="65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</row>
    <row r="504">
      <c r="A504" s="65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</row>
    <row r="505">
      <c r="A505" s="65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</row>
    <row r="506">
      <c r="A506" s="65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</row>
    <row r="507">
      <c r="A507" s="65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</row>
    <row r="508">
      <c r="A508" s="65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</row>
    <row r="509">
      <c r="A509" s="65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</row>
    <row r="510">
      <c r="A510" s="65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</row>
    <row r="511">
      <c r="A511" s="65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</row>
    <row r="512">
      <c r="A512" s="65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</row>
    <row r="513">
      <c r="A513" s="65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</row>
    <row r="514">
      <c r="A514" s="65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</row>
    <row r="515">
      <c r="A515" s="65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</row>
    <row r="516">
      <c r="A516" s="65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</row>
    <row r="517">
      <c r="A517" s="65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</row>
    <row r="518">
      <c r="A518" s="65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</row>
    <row r="519">
      <c r="A519" s="65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</row>
    <row r="520">
      <c r="A520" s="65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</row>
    <row r="521">
      <c r="A521" s="65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</row>
    <row r="522">
      <c r="A522" s="65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</row>
    <row r="523">
      <c r="A523" s="65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</row>
    <row r="524">
      <c r="A524" s="65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</row>
    <row r="525">
      <c r="A525" s="65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</row>
    <row r="526">
      <c r="A526" s="65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</row>
    <row r="527">
      <c r="A527" s="65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</row>
    <row r="528">
      <c r="A528" s="65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</row>
    <row r="529">
      <c r="A529" s="65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</row>
    <row r="530">
      <c r="A530" s="65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</row>
    <row r="531">
      <c r="A531" s="65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</row>
    <row r="532">
      <c r="A532" s="65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</row>
    <row r="533">
      <c r="A533" s="65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</row>
    <row r="534">
      <c r="A534" s="65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</row>
    <row r="535">
      <c r="A535" s="65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</row>
    <row r="536">
      <c r="A536" s="65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</row>
    <row r="537">
      <c r="A537" s="65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</row>
    <row r="538">
      <c r="A538" s="65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</row>
    <row r="539">
      <c r="A539" s="65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</row>
    <row r="540">
      <c r="A540" s="65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</row>
    <row r="541">
      <c r="A541" s="65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</row>
    <row r="542">
      <c r="A542" s="65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</row>
    <row r="543">
      <c r="A543" s="65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</row>
    <row r="544">
      <c r="A544" s="65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</row>
    <row r="545">
      <c r="A545" s="65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</row>
    <row r="546">
      <c r="A546" s="65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</row>
    <row r="547">
      <c r="A547" s="65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</row>
    <row r="548">
      <c r="A548" s="65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</row>
    <row r="549">
      <c r="A549" s="65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</row>
    <row r="550">
      <c r="A550" s="65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</row>
    <row r="551">
      <c r="A551" s="65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</row>
    <row r="552">
      <c r="A552" s="65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</row>
    <row r="553">
      <c r="A553" s="65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</row>
    <row r="554">
      <c r="A554" s="65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</row>
    <row r="555">
      <c r="A555" s="65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</row>
    <row r="556">
      <c r="A556" s="65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</row>
    <row r="557">
      <c r="A557" s="65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</row>
    <row r="558">
      <c r="A558" s="65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</row>
    <row r="559">
      <c r="A559" s="65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</row>
    <row r="560">
      <c r="A560" s="65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</row>
    <row r="561">
      <c r="A561" s="65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</row>
    <row r="562">
      <c r="A562" s="65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</row>
    <row r="563">
      <c r="A563" s="65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</row>
    <row r="564">
      <c r="A564" s="65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</row>
    <row r="565">
      <c r="A565" s="65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</row>
    <row r="566">
      <c r="A566" s="65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</row>
    <row r="567">
      <c r="A567" s="65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</row>
    <row r="568">
      <c r="A568" s="65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</row>
    <row r="569">
      <c r="A569" s="65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</row>
    <row r="570">
      <c r="A570" s="65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</row>
    <row r="571">
      <c r="A571" s="65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</row>
    <row r="572">
      <c r="A572" s="65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</row>
    <row r="573">
      <c r="A573" s="65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</row>
    <row r="574">
      <c r="A574" s="65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</row>
    <row r="575">
      <c r="A575" s="65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</row>
    <row r="576">
      <c r="A576" s="65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</row>
    <row r="577">
      <c r="A577" s="65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</row>
    <row r="578">
      <c r="A578" s="65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</row>
    <row r="579">
      <c r="A579" s="65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</row>
    <row r="580">
      <c r="A580" s="65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</row>
    <row r="581">
      <c r="A581" s="65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</row>
    <row r="582">
      <c r="A582" s="65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</row>
    <row r="583">
      <c r="A583" s="65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</row>
    <row r="584">
      <c r="A584" s="65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</row>
    <row r="585">
      <c r="A585" s="65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</row>
    <row r="586">
      <c r="A586" s="65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</row>
    <row r="587">
      <c r="A587" s="65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</row>
    <row r="588">
      <c r="A588" s="65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</row>
    <row r="589">
      <c r="A589" s="65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</row>
    <row r="590">
      <c r="A590" s="65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</row>
    <row r="591">
      <c r="A591" s="65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</row>
    <row r="592">
      <c r="A592" s="65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</row>
    <row r="593">
      <c r="A593" s="65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</row>
    <row r="594">
      <c r="A594" s="65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</row>
    <row r="595">
      <c r="A595" s="65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</row>
    <row r="596">
      <c r="A596" s="65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</row>
    <row r="597">
      <c r="A597" s="65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</row>
    <row r="598">
      <c r="A598" s="65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</row>
    <row r="599">
      <c r="A599" s="65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</row>
    <row r="600">
      <c r="A600" s="65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</row>
    <row r="601">
      <c r="A601" s="65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</row>
    <row r="602">
      <c r="A602" s="65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</row>
    <row r="603">
      <c r="A603" s="65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</row>
    <row r="604">
      <c r="A604" s="65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</row>
    <row r="605">
      <c r="A605" s="65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</row>
    <row r="606">
      <c r="A606" s="65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</row>
    <row r="607">
      <c r="A607" s="65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</row>
    <row r="608">
      <c r="A608" s="65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</row>
    <row r="609">
      <c r="A609" s="65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</row>
    <row r="610">
      <c r="A610" s="65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</row>
    <row r="611">
      <c r="A611" s="65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</row>
    <row r="612">
      <c r="A612" s="65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</row>
    <row r="613">
      <c r="A613" s="65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</row>
    <row r="614">
      <c r="A614" s="65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</row>
    <row r="615">
      <c r="A615" s="65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</row>
    <row r="616">
      <c r="A616" s="65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</row>
    <row r="617">
      <c r="A617" s="65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</row>
    <row r="618">
      <c r="A618" s="65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</row>
    <row r="619">
      <c r="A619" s="65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</row>
    <row r="620">
      <c r="A620" s="65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</row>
    <row r="621">
      <c r="A621" s="65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</row>
    <row r="622">
      <c r="A622" s="65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</row>
    <row r="623">
      <c r="A623" s="65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</row>
    <row r="624">
      <c r="A624" s="65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</row>
    <row r="625">
      <c r="A625" s="65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</row>
    <row r="626">
      <c r="A626" s="65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</row>
    <row r="627">
      <c r="A627" s="65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</row>
    <row r="628">
      <c r="A628" s="65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</row>
    <row r="629">
      <c r="A629" s="65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</row>
    <row r="630">
      <c r="A630" s="65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</row>
    <row r="631">
      <c r="A631" s="65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</row>
    <row r="632">
      <c r="A632" s="65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</row>
    <row r="633">
      <c r="A633" s="65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</row>
    <row r="634">
      <c r="A634" s="65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</row>
    <row r="635">
      <c r="A635" s="65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</row>
    <row r="636">
      <c r="A636" s="65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</row>
    <row r="637">
      <c r="A637" s="65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</row>
    <row r="638">
      <c r="A638" s="65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</row>
    <row r="639">
      <c r="A639" s="65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</row>
    <row r="640">
      <c r="A640" s="65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</row>
    <row r="641">
      <c r="A641" s="65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</row>
    <row r="642">
      <c r="A642" s="65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</row>
    <row r="643">
      <c r="A643" s="65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</row>
    <row r="644">
      <c r="A644" s="65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</row>
    <row r="645">
      <c r="A645" s="65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</row>
    <row r="646">
      <c r="A646" s="65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</row>
    <row r="647">
      <c r="A647" s="65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</row>
    <row r="648">
      <c r="A648" s="65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</row>
    <row r="649">
      <c r="A649" s="65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</row>
    <row r="650">
      <c r="A650" s="65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</row>
    <row r="651">
      <c r="A651" s="65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</row>
    <row r="652">
      <c r="A652" s="65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</row>
    <row r="653">
      <c r="A653" s="65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</row>
    <row r="654">
      <c r="A654" s="65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</row>
    <row r="655">
      <c r="A655" s="65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</row>
    <row r="656">
      <c r="A656" s="65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</row>
    <row r="657">
      <c r="A657" s="65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</row>
    <row r="658">
      <c r="A658" s="65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</row>
    <row r="659">
      <c r="A659" s="65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</row>
    <row r="660">
      <c r="A660" s="65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</row>
    <row r="661">
      <c r="A661" s="65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</row>
    <row r="662">
      <c r="A662" s="65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</row>
    <row r="663">
      <c r="A663" s="65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</row>
    <row r="664">
      <c r="A664" s="65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</row>
    <row r="665">
      <c r="A665" s="65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</row>
    <row r="666">
      <c r="A666" s="65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</row>
    <row r="667">
      <c r="A667" s="65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</row>
    <row r="668">
      <c r="A668" s="65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</row>
    <row r="669">
      <c r="A669" s="65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</row>
    <row r="670">
      <c r="A670" s="65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</row>
    <row r="671">
      <c r="A671" s="65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</row>
    <row r="672">
      <c r="A672" s="65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</row>
    <row r="673">
      <c r="A673" s="65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</row>
    <row r="674">
      <c r="A674" s="65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</row>
    <row r="675">
      <c r="A675" s="65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</row>
    <row r="676">
      <c r="A676" s="65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</row>
    <row r="677">
      <c r="A677" s="65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</row>
    <row r="678">
      <c r="A678" s="65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</row>
    <row r="679">
      <c r="A679" s="65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</row>
    <row r="680">
      <c r="A680" s="65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</row>
    <row r="681">
      <c r="A681" s="65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</row>
    <row r="682">
      <c r="A682" s="65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</row>
    <row r="683">
      <c r="A683" s="65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</row>
    <row r="684">
      <c r="A684" s="65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</row>
    <row r="685">
      <c r="A685" s="65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</row>
    <row r="686">
      <c r="A686" s="65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</row>
    <row r="687">
      <c r="A687" s="65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</row>
    <row r="688">
      <c r="A688" s="65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</row>
    <row r="689">
      <c r="A689" s="65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</row>
    <row r="690">
      <c r="A690" s="65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</row>
    <row r="691">
      <c r="A691" s="65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</row>
    <row r="692">
      <c r="A692" s="65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</row>
    <row r="693">
      <c r="A693" s="65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</row>
    <row r="694">
      <c r="A694" s="65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</row>
    <row r="695">
      <c r="A695" s="65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</row>
    <row r="696">
      <c r="A696" s="65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</row>
    <row r="697">
      <c r="A697" s="65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</row>
    <row r="698">
      <c r="A698" s="65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</row>
    <row r="699">
      <c r="A699" s="65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</row>
    <row r="700">
      <c r="A700" s="65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</row>
    <row r="701">
      <c r="A701" s="65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</row>
    <row r="702">
      <c r="A702" s="65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</row>
    <row r="703">
      <c r="A703" s="65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</row>
    <row r="704">
      <c r="A704" s="65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</row>
    <row r="705">
      <c r="A705" s="65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</row>
    <row r="706">
      <c r="A706" s="65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</row>
    <row r="707">
      <c r="A707" s="65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</row>
    <row r="708">
      <c r="A708" s="65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</row>
    <row r="709">
      <c r="A709" s="65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</row>
    <row r="710">
      <c r="A710" s="65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</row>
    <row r="711">
      <c r="A711" s="65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</row>
    <row r="712">
      <c r="A712" s="65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</row>
    <row r="713">
      <c r="A713" s="65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</row>
    <row r="714">
      <c r="A714" s="65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</row>
    <row r="715">
      <c r="A715" s="65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</row>
    <row r="716">
      <c r="A716" s="65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</row>
    <row r="717">
      <c r="A717" s="65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</row>
    <row r="718">
      <c r="A718" s="65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</row>
    <row r="719">
      <c r="A719" s="65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</row>
    <row r="720">
      <c r="A720" s="65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</row>
    <row r="721">
      <c r="A721" s="65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</row>
    <row r="722">
      <c r="A722" s="65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</row>
    <row r="723">
      <c r="A723" s="65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</row>
    <row r="724">
      <c r="A724" s="65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</row>
    <row r="725">
      <c r="A725" s="65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</row>
    <row r="726">
      <c r="A726" s="65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</row>
    <row r="727">
      <c r="A727" s="65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</row>
    <row r="728">
      <c r="A728" s="65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</row>
    <row r="729">
      <c r="A729" s="65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</row>
    <row r="730">
      <c r="A730" s="65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</row>
    <row r="731">
      <c r="A731" s="65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</row>
    <row r="732">
      <c r="A732" s="65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</row>
    <row r="733">
      <c r="A733" s="65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</row>
    <row r="734">
      <c r="A734" s="65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</row>
    <row r="735">
      <c r="A735" s="65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</row>
    <row r="736">
      <c r="A736" s="65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</row>
    <row r="737">
      <c r="A737" s="65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</row>
    <row r="738">
      <c r="A738" s="65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</row>
    <row r="739">
      <c r="A739" s="65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</row>
    <row r="740">
      <c r="A740" s="65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</row>
    <row r="741">
      <c r="A741" s="65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</row>
    <row r="742">
      <c r="A742" s="65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</row>
    <row r="743">
      <c r="A743" s="65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</row>
    <row r="744">
      <c r="A744" s="65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</row>
    <row r="745">
      <c r="A745" s="65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</row>
    <row r="746">
      <c r="A746" s="65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</row>
    <row r="747">
      <c r="A747" s="65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</row>
    <row r="748">
      <c r="A748" s="65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</row>
    <row r="749">
      <c r="A749" s="65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</row>
    <row r="750">
      <c r="A750" s="65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</row>
    <row r="751">
      <c r="A751" s="65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</row>
    <row r="752">
      <c r="A752" s="65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</row>
    <row r="753">
      <c r="A753" s="65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</row>
    <row r="754">
      <c r="A754" s="65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</row>
    <row r="755">
      <c r="A755" s="65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</row>
    <row r="756">
      <c r="A756" s="65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</row>
    <row r="757">
      <c r="A757" s="65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</row>
    <row r="758">
      <c r="A758" s="65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</row>
    <row r="759">
      <c r="A759" s="65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</row>
    <row r="760">
      <c r="A760" s="65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</row>
    <row r="761">
      <c r="A761" s="65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</row>
    <row r="762">
      <c r="A762" s="65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</row>
    <row r="763">
      <c r="A763" s="65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</row>
    <row r="764">
      <c r="A764" s="65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</row>
    <row r="765">
      <c r="A765" s="65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</row>
    <row r="766">
      <c r="A766" s="65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</row>
    <row r="767">
      <c r="A767" s="65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</row>
    <row r="768">
      <c r="A768" s="65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</row>
    <row r="769">
      <c r="A769" s="65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</row>
    <row r="770">
      <c r="A770" s="65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</row>
    <row r="771">
      <c r="A771" s="65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</row>
    <row r="772">
      <c r="A772" s="65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</row>
    <row r="773">
      <c r="A773" s="65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</row>
    <row r="774">
      <c r="A774" s="65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</row>
    <row r="775">
      <c r="A775" s="65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</row>
    <row r="776">
      <c r="A776" s="65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</row>
    <row r="777">
      <c r="A777" s="65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</row>
    <row r="778">
      <c r="A778" s="65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</row>
    <row r="779">
      <c r="A779" s="65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</row>
    <row r="780">
      <c r="A780" s="65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</row>
    <row r="781">
      <c r="A781" s="65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</row>
    <row r="782">
      <c r="A782" s="65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</row>
    <row r="783">
      <c r="A783" s="65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</row>
    <row r="784">
      <c r="A784" s="65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</row>
    <row r="785">
      <c r="A785" s="65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</row>
    <row r="786">
      <c r="A786" s="65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</row>
    <row r="787">
      <c r="A787" s="65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</row>
    <row r="788">
      <c r="A788" s="65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</row>
    <row r="789">
      <c r="A789" s="65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</row>
    <row r="790">
      <c r="A790" s="65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</row>
    <row r="791">
      <c r="A791" s="65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</row>
    <row r="792">
      <c r="A792" s="65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</row>
    <row r="793">
      <c r="A793" s="65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</row>
    <row r="794">
      <c r="A794" s="65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</row>
    <row r="795">
      <c r="A795" s="65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</row>
    <row r="796">
      <c r="A796" s="65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</row>
    <row r="797">
      <c r="A797" s="65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</row>
    <row r="798">
      <c r="A798" s="65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</row>
    <row r="799">
      <c r="A799" s="65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</row>
    <row r="800">
      <c r="A800" s="65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</row>
    <row r="801">
      <c r="A801" s="65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</row>
    <row r="802">
      <c r="A802" s="65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</row>
    <row r="803">
      <c r="A803" s="65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</row>
    <row r="804">
      <c r="A804" s="65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</row>
    <row r="805">
      <c r="A805" s="65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</row>
    <row r="806">
      <c r="A806" s="65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</row>
    <row r="807">
      <c r="A807" s="65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</row>
    <row r="808">
      <c r="A808" s="65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</row>
    <row r="809">
      <c r="A809" s="65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</row>
    <row r="810">
      <c r="A810" s="65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</row>
    <row r="811">
      <c r="A811" s="65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</row>
    <row r="812">
      <c r="A812" s="65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</row>
    <row r="813">
      <c r="A813" s="65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</row>
    <row r="814">
      <c r="A814" s="65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</row>
    <row r="815">
      <c r="A815" s="65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</row>
    <row r="816">
      <c r="A816" s="65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</row>
    <row r="817">
      <c r="A817" s="65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</row>
    <row r="818">
      <c r="A818" s="65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</row>
    <row r="819">
      <c r="A819" s="65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</row>
    <row r="820">
      <c r="A820" s="65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</row>
    <row r="821">
      <c r="A821" s="65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</row>
    <row r="822">
      <c r="A822" s="65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</row>
    <row r="823">
      <c r="A823" s="65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</row>
    <row r="824">
      <c r="A824" s="65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</row>
    <row r="825">
      <c r="A825" s="65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</row>
    <row r="826">
      <c r="A826" s="65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</row>
    <row r="827">
      <c r="A827" s="65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</row>
    <row r="828">
      <c r="A828" s="65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</row>
    <row r="829">
      <c r="A829" s="65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</row>
    <row r="830">
      <c r="A830" s="65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</row>
    <row r="831">
      <c r="A831" s="65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</row>
    <row r="832">
      <c r="A832" s="65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</row>
    <row r="833">
      <c r="A833" s="65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</row>
    <row r="834">
      <c r="A834" s="65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</row>
    <row r="835">
      <c r="A835" s="65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</row>
    <row r="836">
      <c r="A836" s="65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</row>
    <row r="837">
      <c r="A837" s="65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</row>
    <row r="838">
      <c r="A838" s="65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</row>
    <row r="839">
      <c r="A839" s="65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</row>
    <row r="840">
      <c r="A840" s="65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</row>
    <row r="841">
      <c r="A841" s="65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</row>
    <row r="842">
      <c r="A842" s="65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</row>
    <row r="843">
      <c r="A843" s="65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</row>
    <row r="844">
      <c r="A844" s="65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</row>
    <row r="845">
      <c r="A845" s="65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</row>
    <row r="846">
      <c r="A846" s="65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</row>
    <row r="847">
      <c r="A847" s="65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</row>
    <row r="848">
      <c r="A848" s="65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</row>
    <row r="849">
      <c r="A849" s="65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</row>
    <row r="850">
      <c r="A850" s="65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</row>
    <row r="851">
      <c r="A851" s="65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</row>
    <row r="852">
      <c r="A852" s="65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</row>
    <row r="853">
      <c r="A853" s="65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</row>
    <row r="854">
      <c r="A854" s="65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</row>
    <row r="855">
      <c r="A855" s="65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</row>
    <row r="856">
      <c r="A856" s="65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</row>
    <row r="857">
      <c r="A857" s="65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</row>
    <row r="858">
      <c r="A858" s="65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</row>
    <row r="859">
      <c r="A859" s="65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</row>
    <row r="860">
      <c r="A860" s="65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</row>
    <row r="861">
      <c r="A861" s="65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</row>
    <row r="862">
      <c r="A862" s="65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</row>
    <row r="863">
      <c r="A863" s="65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</row>
    <row r="864">
      <c r="A864" s="65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</row>
    <row r="865">
      <c r="A865" s="65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</row>
    <row r="866">
      <c r="A866" s="65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</row>
    <row r="867">
      <c r="A867" s="65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</row>
    <row r="868">
      <c r="A868" s="65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</row>
    <row r="869">
      <c r="A869" s="65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</row>
    <row r="870">
      <c r="A870" s="65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</row>
    <row r="871">
      <c r="A871" s="65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</row>
    <row r="872">
      <c r="A872" s="65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</row>
    <row r="873">
      <c r="A873" s="65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</row>
    <row r="874">
      <c r="A874" s="65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</row>
    <row r="875">
      <c r="A875" s="65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</row>
    <row r="876">
      <c r="A876" s="65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</row>
    <row r="877">
      <c r="A877" s="65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</row>
    <row r="878">
      <c r="A878" s="65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</row>
    <row r="879">
      <c r="A879" s="65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</row>
    <row r="880">
      <c r="A880" s="65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</row>
    <row r="881">
      <c r="A881" s="65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</row>
    <row r="882">
      <c r="A882" s="65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</row>
    <row r="883">
      <c r="A883" s="65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</row>
    <row r="884">
      <c r="A884" s="65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</row>
    <row r="885">
      <c r="A885" s="65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</row>
    <row r="886">
      <c r="A886" s="65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</row>
    <row r="887">
      <c r="A887" s="65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</row>
    <row r="888">
      <c r="A888" s="65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</row>
    <row r="889">
      <c r="A889" s="65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</row>
    <row r="890">
      <c r="A890" s="65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</row>
    <row r="891">
      <c r="A891" s="65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</row>
    <row r="892">
      <c r="A892" s="65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</row>
    <row r="893">
      <c r="A893" s="65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</row>
    <row r="894">
      <c r="A894" s="65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</row>
    <row r="895">
      <c r="A895" s="65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</row>
    <row r="896">
      <c r="A896" s="65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</row>
  </sheetData>
  <conditionalFormatting sqref="M2:X875">
    <cfRule type="expression" dxfId="3" priority="1">
      <formula>OR($H2="Completed", $H2="Delivered")</formula>
    </cfRule>
  </conditionalFormatting>
  <conditionalFormatting sqref="M2:X875">
    <cfRule type="expression" dxfId="4" priority="2">
      <formula>OR($H2="Cancel")</formula>
    </cfRule>
  </conditionalFormatting>
  <conditionalFormatting sqref="H2">
    <cfRule type="notContainsBlanks" dxfId="5" priority="3">
      <formula>LEN(TRIM(H2))&gt;0</formula>
    </cfRule>
  </conditionalFormatting>
  <dataValidations>
    <dataValidation type="list" allowBlank="1" showErrorMessage="1" sqref="H3:H59">
      <formula1>"Completed,Delivered,In Progress,On Hold,Cancel,Pending Customer"</formula1>
    </dataValidation>
    <dataValidation type="list" allowBlank="1" showErrorMessage="1" sqref="F2:F59">
      <formula1>"DIA,Broadband,EPL/PLL,IEPL,Eng Serv.,Managed Serv.,Eaas,Other"</formula1>
    </dataValidation>
    <dataValidation type="list" allowBlank="1" showErrorMessage="1" sqref="H2">
      <formula1>"Completed,DO &amp; LOA,On Hold,In Progress,Cancel,Pending Customer"</formula1>
    </dataValidation>
    <dataValidation type="list" allowBlank="1" showErrorMessage="1" sqref="E2:E59">
      <formula1>"New Sales,Relocation,Upgrade,Downgrade"</formula1>
    </dataValidation>
    <dataValidation type="list" allowBlank="1" showErrorMessage="1" sqref="C2:C59">
      <formula1>"Airespring,Combridge,Connect2cloud,GTT,Iceblue,NTT,Singtel,CTAP,Zenlayer,Orange,NTTGN,Zenlayer ,CT MY"</formula1>
    </dataValidation>
  </dataValidations>
  <hyperlinks>
    <hyperlink r:id="rId1" ref="D54"/>
    <hyperlink r:id="rId2" ref="I54"/>
    <hyperlink r:id="rId3" ref="J54"/>
    <hyperlink r:id="rId4" ref="D55"/>
    <hyperlink r:id="rId5" ref="J55"/>
    <hyperlink r:id="rId6" ref="D58"/>
    <hyperlink r:id="rId7" ref="J58"/>
  </hyperlinks>
  <drawing r:id="rId8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9.13"/>
    <col customWidth="1" min="3" max="3" width="86.63"/>
    <col customWidth="1" min="4" max="5" width="9.63"/>
    <col customWidth="1" min="6" max="6" width="8.38"/>
    <col customWidth="1" min="7" max="7" width="14.38"/>
    <col customWidth="1" min="8" max="8" width="15.75"/>
    <col customWidth="1" min="9" max="9" width="14.75"/>
    <col customWidth="1" min="10" max="10" width="19.88"/>
    <col customWidth="1" min="11" max="11" width="6.75"/>
    <col customWidth="1" min="12" max="12" width="8.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12</v>
      </c>
      <c r="J1" s="1" t="s">
        <v>14</v>
      </c>
      <c r="K1" s="1" t="s">
        <v>15</v>
      </c>
      <c r="L1" s="1" t="s">
        <v>16</v>
      </c>
      <c r="M1" s="3" t="s">
        <v>20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34</v>
      </c>
      <c r="X1" s="1" t="s">
        <v>35</v>
      </c>
      <c r="Y1" s="10"/>
      <c r="Z1" s="10"/>
      <c r="AA1" s="10"/>
      <c r="AB1" s="10"/>
      <c r="AC1" s="10"/>
      <c r="AD1" s="10"/>
    </row>
    <row r="2">
      <c r="A2" s="12" t="s">
        <v>38</v>
      </c>
      <c r="B2" s="12" t="s">
        <v>41</v>
      </c>
      <c r="C2" s="10" t="s">
        <v>42</v>
      </c>
      <c r="D2" s="12" t="s">
        <v>43</v>
      </c>
      <c r="E2" s="12" t="s">
        <v>46</v>
      </c>
      <c r="F2" s="15">
        <v>46025.0</v>
      </c>
      <c r="G2" s="12" t="s">
        <v>47</v>
      </c>
      <c r="H2" s="12" t="s">
        <v>48</v>
      </c>
      <c r="I2" s="18" t="s">
        <v>49</v>
      </c>
      <c r="J2" s="12" t="s">
        <v>50</v>
      </c>
      <c r="K2" s="19">
        <v>0.6473</v>
      </c>
      <c r="L2" s="20">
        <v>4536.0</v>
      </c>
      <c r="M2" s="22">
        <v>0.0</v>
      </c>
      <c r="N2" s="23">
        <v>0.0</v>
      </c>
      <c r="O2" s="28">
        <f>90*4</f>
        <v>360</v>
      </c>
      <c r="P2" s="28">
        <v>360.0</v>
      </c>
      <c r="Q2" s="28">
        <v>360.0</v>
      </c>
      <c r="R2" s="28">
        <v>360.0</v>
      </c>
      <c r="S2" s="28">
        <v>360.0</v>
      </c>
      <c r="T2" s="28">
        <v>360.0</v>
      </c>
      <c r="U2" s="28">
        <v>360.0</v>
      </c>
      <c r="V2" s="28">
        <v>360.0</v>
      </c>
      <c r="W2" s="28">
        <v>360.0</v>
      </c>
      <c r="X2" s="28">
        <v>360.0</v>
      </c>
      <c r="Y2" s="10"/>
      <c r="Z2" s="10"/>
      <c r="AA2" s="10"/>
      <c r="AB2" s="10"/>
      <c r="AC2" s="10"/>
      <c r="AD2" s="10"/>
    </row>
    <row r="3">
      <c r="A3" s="12" t="s">
        <v>65</v>
      </c>
      <c r="B3" s="12" t="s">
        <v>41</v>
      </c>
      <c r="C3" s="10" t="s">
        <v>68</v>
      </c>
      <c r="D3" s="12" t="s">
        <v>43</v>
      </c>
      <c r="E3" s="12" t="s">
        <v>46</v>
      </c>
      <c r="F3" s="15">
        <v>46025.0</v>
      </c>
      <c r="G3" s="12" t="s">
        <v>47</v>
      </c>
      <c r="H3" s="12" t="s">
        <v>73</v>
      </c>
      <c r="I3" s="18" t="s">
        <v>74</v>
      </c>
      <c r="J3" s="12" t="s">
        <v>75</v>
      </c>
      <c r="K3" s="19">
        <v>0.8677</v>
      </c>
      <c r="L3" s="20">
        <v>12096.0</v>
      </c>
      <c r="M3" s="22">
        <v>0.0</v>
      </c>
      <c r="N3" s="23">
        <v>0.0</v>
      </c>
      <c r="O3" s="28">
        <f>80*4</f>
        <v>320</v>
      </c>
      <c r="P3" s="28">
        <v>320.0</v>
      </c>
      <c r="Q3" s="28">
        <v>320.0</v>
      </c>
      <c r="R3" s="28">
        <v>320.0</v>
      </c>
      <c r="S3" s="28">
        <v>320.0</v>
      </c>
      <c r="T3" s="28">
        <v>320.0</v>
      </c>
      <c r="U3" s="28">
        <v>320.0</v>
      </c>
      <c r="V3" s="28">
        <v>320.0</v>
      </c>
      <c r="W3" s="28">
        <v>320.0</v>
      </c>
      <c r="X3" s="28">
        <v>320.0</v>
      </c>
      <c r="Y3" s="10"/>
      <c r="Z3" s="10"/>
      <c r="AA3" s="10"/>
      <c r="AB3" s="10"/>
      <c r="AC3" s="10"/>
      <c r="AD3" s="10"/>
    </row>
    <row r="4">
      <c r="A4" s="12" t="s">
        <v>76</v>
      </c>
      <c r="B4" s="12" t="s">
        <v>41</v>
      </c>
      <c r="C4" s="10" t="s">
        <v>77</v>
      </c>
      <c r="D4" s="12" t="s">
        <v>43</v>
      </c>
      <c r="E4" s="12" t="s">
        <v>46</v>
      </c>
      <c r="F4" s="15">
        <v>46025.0</v>
      </c>
      <c r="G4" s="12" t="s">
        <v>47</v>
      </c>
      <c r="H4" s="12" t="s">
        <v>78</v>
      </c>
      <c r="I4" s="18" t="s">
        <v>79</v>
      </c>
      <c r="J4" s="12" t="s">
        <v>80</v>
      </c>
      <c r="K4" s="19">
        <v>0.8677</v>
      </c>
      <c r="L4" s="20">
        <v>12096.0</v>
      </c>
      <c r="M4" s="22">
        <v>0.0</v>
      </c>
      <c r="N4" s="23">
        <v>0.0</v>
      </c>
      <c r="O4" s="28">
        <v>320.0</v>
      </c>
      <c r="P4" s="28">
        <v>320.0</v>
      </c>
      <c r="Q4" s="28">
        <v>320.0</v>
      </c>
      <c r="R4" s="28">
        <v>320.0</v>
      </c>
      <c r="S4" s="28">
        <v>320.0</v>
      </c>
      <c r="T4" s="28">
        <v>320.0</v>
      </c>
      <c r="U4" s="28">
        <v>320.0</v>
      </c>
      <c r="V4" s="28">
        <v>320.0</v>
      </c>
      <c r="W4" s="28">
        <v>320.0</v>
      </c>
      <c r="X4" s="28">
        <v>320.0</v>
      </c>
      <c r="Y4" s="10"/>
      <c r="Z4" s="10"/>
      <c r="AA4" s="10"/>
      <c r="AB4" s="10"/>
      <c r="AC4" s="10"/>
      <c r="AD4" s="10"/>
    </row>
    <row r="5">
      <c r="A5" s="12" t="s">
        <v>81</v>
      </c>
      <c r="B5" s="12" t="s">
        <v>41</v>
      </c>
      <c r="C5" s="10" t="s">
        <v>82</v>
      </c>
      <c r="D5" s="12" t="s">
        <v>43</v>
      </c>
      <c r="E5" s="12" t="s">
        <v>62</v>
      </c>
      <c r="F5" s="15">
        <v>46026.0</v>
      </c>
      <c r="G5" s="12" t="s">
        <v>47</v>
      </c>
      <c r="H5" s="12" t="s">
        <v>83</v>
      </c>
      <c r="I5" s="18" t="s">
        <v>84</v>
      </c>
      <c r="J5" s="12" t="s">
        <v>85</v>
      </c>
      <c r="K5" s="19">
        <v>0.3003</v>
      </c>
      <c r="L5" s="20">
        <v>15024.0</v>
      </c>
      <c r="M5" s="22">
        <v>0.0</v>
      </c>
      <c r="N5" s="23">
        <v>0.0</v>
      </c>
      <c r="O5" s="23">
        <v>0.0</v>
      </c>
      <c r="P5" s="28">
        <v>1252.0</v>
      </c>
      <c r="Q5" s="28">
        <v>1252.0</v>
      </c>
      <c r="R5" s="28">
        <v>1252.0</v>
      </c>
      <c r="S5" s="28">
        <v>1252.0</v>
      </c>
      <c r="T5" s="28">
        <v>1252.0</v>
      </c>
      <c r="U5" s="28">
        <v>1252.0</v>
      </c>
      <c r="V5" s="28">
        <v>1252.0</v>
      </c>
      <c r="W5" s="28">
        <v>1252.0</v>
      </c>
      <c r="X5" s="28">
        <v>1252.0</v>
      </c>
      <c r="Y5" s="10"/>
      <c r="Z5" s="10"/>
      <c r="AA5" s="10"/>
      <c r="AB5" s="10"/>
      <c r="AC5" s="10"/>
      <c r="AD5" s="10"/>
    </row>
    <row r="6">
      <c r="A6" s="12" t="s">
        <v>89</v>
      </c>
      <c r="B6" s="12" t="s">
        <v>41</v>
      </c>
      <c r="C6" s="10" t="s">
        <v>91</v>
      </c>
      <c r="D6" s="12" t="s">
        <v>43</v>
      </c>
      <c r="E6" s="12" t="s">
        <v>62</v>
      </c>
      <c r="F6" s="15">
        <v>46026.0</v>
      </c>
      <c r="G6" s="12" t="s">
        <v>47</v>
      </c>
      <c r="H6" s="12" t="s">
        <v>92</v>
      </c>
      <c r="I6" s="18" t="s">
        <v>94</v>
      </c>
      <c r="J6" s="12" t="s">
        <v>97</v>
      </c>
      <c r="K6" s="19">
        <v>0.3452</v>
      </c>
      <c r="L6" s="20">
        <v>12960.0</v>
      </c>
      <c r="M6" s="22">
        <v>0.0</v>
      </c>
      <c r="N6" s="23">
        <v>0.0</v>
      </c>
      <c r="O6" s="23">
        <v>0.0</v>
      </c>
      <c r="P6" s="28">
        <f>360*4</f>
        <v>1440</v>
      </c>
      <c r="Q6" s="28">
        <v>1440.0</v>
      </c>
      <c r="R6" s="28">
        <v>1440.0</v>
      </c>
      <c r="S6" s="28">
        <v>1440.0</v>
      </c>
      <c r="T6" s="28">
        <v>1440.0</v>
      </c>
      <c r="U6" s="28">
        <v>1440.0</v>
      </c>
      <c r="V6" s="28">
        <v>1440.0</v>
      </c>
      <c r="W6" s="28">
        <v>1440.0</v>
      </c>
      <c r="X6" s="28">
        <v>1440.0</v>
      </c>
      <c r="Y6" s="10"/>
      <c r="Z6" s="10"/>
      <c r="AA6" s="10"/>
      <c r="AB6" s="10"/>
      <c r="AC6" s="10"/>
      <c r="AD6" s="10"/>
    </row>
    <row r="7">
      <c r="A7" s="12" t="s">
        <v>105</v>
      </c>
      <c r="B7" s="12" t="s">
        <v>41</v>
      </c>
      <c r="C7" s="10" t="s">
        <v>106</v>
      </c>
      <c r="D7" s="12" t="s">
        <v>43</v>
      </c>
      <c r="E7" s="12" t="s">
        <v>46</v>
      </c>
      <c r="F7" s="15">
        <v>46026.0</v>
      </c>
      <c r="G7" s="12" t="s">
        <v>47</v>
      </c>
      <c r="H7" s="12" t="s">
        <v>112</v>
      </c>
      <c r="I7" s="18" t="s">
        <v>114</v>
      </c>
      <c r="J7" s="12" t="s">
        <v>116</v>
      </c>
      <c r="K7" s="19">
        <v>0.8413</v>
      </c>
      <c r="L7" s="20">
        <v>7200.0</v>
      </c>
      <c r="M7" s="22">
        <v>0.0</v>
      </c>
      <c r="N7" s="23">
        <v>0.0</v>
      </c>
      <c r="O7" s="23">
        <v>0.0</v>
      </c>
      <c r="P7" s="28">
        <f>150*4</f>
        <v>600</v>
      </c>
      <c r="Q7" s="28">
        <v>600.0</v>
      </c>
      <c r="R7" s="28">
        <v>600.0</v>
      </c>
      <c r="S7" s="28">
        <v>600.0</v>
      </c>
      <c r="T7" s="28">
        <v>600.0</v>
      </c>
      <c r="U7" s="28">
        <v>600.0</v>
      </c>
      <c r="V7" s="28">
        <v>600.0</v>
      </c>
      <c r="W7" s="28">
        <v>600.0</v>
      </c>
      <c r="X7" s="28">
        <v>600.0</v>
      </c>
      <c r="Y7" s="10"/>
      <c r="Z7" s="10"/>
      <c r="AA7" s="10"/>
      <c r="AB7" s="10"/>
      <c r="AC7" s="10"/>
      <c r="AD7" s="10"/>
    </row>
    <row r="8">
      <c r="A8" s="12" t="s">
        <v>120</v>
      </c>
      <c r="B8" s="12" t="s">
        <v>41</v>
      </c>
      <c r="C8" s="10" t="s">
        <v>121</v>
      </c>
      <c r="D8" s="12" t="s">
        <v>43</v>
      </c>
      <c r="E8" s="12" t="s">
        <v>46</v>
      </c>
      <c r="F8" s="15">
        <v>46028.0</v>
      </c>
      <c r="G8" s="12" t="s">
        <v>47</v>
      </c>
      <c r="H8" s="12" t="s">
        <v>124</v>
      </c>
      <c r="I8" s="18" t="s">
        <v>125</v>
      </c>
      <c r="J8" s="12" t="s">
        <v>126</v>
      </c>
      <c r="K8" s="19">
        <v>0.4643</v>
      </c>
      <c r="L8" s="20">
        <v>3360.0</v>
      </c>
      <c r="M8" s="22">
        <v>0.0</v>
      </c>
      <c r="N8" s="23">
        <v>0.0</v>
      </c>
      <c r="O8" s="23">
        <v>0.0</v>
      </c>
      <c r="P8" s="23">
        <v>0.0</v>
      </c>
      <c r="Q8" s="23">
        <v>0.0</v>
      </c>
      <c r="R8" s="28">
        <f>70*4</f>
        <v>280</v>
      </c>
      <c r="S8" s="28">
        <v>280.0</v>
      </c>
      <c r="T8" s="28">
        <v>280.0</v>
      </c>
      <c r="U8" s="28">
        <v>280.0</v>
      </c>
      <c r="V8" s="28">
        <v>280.0</v>
      </c>
      <c r="W8" s="28">
        <v>280.0</v>
      </c>
      <c r="X8" s="28">
        <v>280.0</v>
      </c>
      <c r="Y8" s="10"/>
      <c r="Z8" s="10"/>
      <c r="AA8" s="10"/>
      <c r="AB8" s="10"/>
      <c r="AC8" s="10"/>
      <c r="AD8" s="10"/>
    </row>
    <row r="9">
      <c r="A9" s="12" t="s">
        <v>132</v>
      </c>
      <c r="B9" s="12" t="s">
        <v>41</v>
      </c>
      <c r="C9" s="10" t="s">
        <v>134</v>
      </c>
      <c r="D9" s="12" t="s">
        <v>43</v>
      </c>
      <c r="E9" s="12" t="s">
        <v>46</v>
      </c>
      <c r="F9" s="15">
        <v>46028.0</v>
      </c>
      <c r="G9" s="12" t="s">
        <v>47</v>
      </c>
      <c r="H9" s="12" t="s">
        <v>135</v>
      </c>
      <c r="I9" s="18" t="s">
        <v>136</v>
      </c>
      <c r="J9" s="12" t="s">
        <v>137</v>
      </c>
      <c r="K9" s="19">
        <v>0.4643</v>
      </c>
      <c r="L9" s="20">
        <v>3360.0</v>
      </c>
      <c r="M9" s="22">
        <v>0.0</v>
      </c>
      <c r="N9" s="23">
        <v>0.0</v>
      </c>
      <c r="O9" s="23">
        <v>0.0</v>
      </c>
      <c r="P9" s="23">
        <v>0.0</v>
      </c>
      <c r="Q9" s="23">
        <v>0.0</v>
      </c>
      <c r="R9" s="28">
        <v>280.0</v>
      </c>
      <c r="S9" s="28">
        <v>280.0</v>
      </c>
      <c r="T9" s="28">
        <v>280.0</v>
      </c>
      <c r="U9" s="28">
        <v>280.0</v>
      </c>
      <c r="V9" s="28">
        <v>280.0</v>
      </c>
      <c r="W9" s="28">
        <v>280.0</v>
      </c>
      <c r="X9" s="28">
        <v>280.0</v>
      </c>
      <c r="Y9" s="10"/>
      <c r="Z9" s="10"/>
      <c r="AA9" s="10"/>
      <c r="AB9" s="10"/>
      <c r="AC9" s="10"/>
      <c r="AD9" s="10"/>
    </row>
    <row r="10">
      <c r="A10" s="12" t="s">
        <v>142</v>
      </c>
      <c r="B10" s="12" t="s">
        <v>41</v>
      </c>
      <c r="C10" s="10" t="s">
        <v>145</v>
      </c>
      <c r="D10" s="12" t="s">
        <v>43</v>
      </c>
      <c r="E10" s="12" t="s">
        <v>46</v>
      </c>
      <c r="F10" s="46">
        <v>46032.0</v>
      </c>
      <c r="G10" s="12" t="s">
        <v>130</v>
      </c>
      <c r="H10" s="12" t="s">
        <v>146</v>
      </c>
      <c r="I10" s="18" t="s">
        <v>147</v>
      </c>
      <c r="J10" s="12" t="s">
        <v>148</v>
      </c>
      <c r="K10" s="19">
        <v>0.6591</v>
      </c>
      <c r="L10" s="20">
        <v>5280.0</v>
      </c>
      <c r="M10" s="22">
        <v>0.0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3">
        <v>0.0</v>
      </c>
      <c r="T10" s="23">
        <v>0.0</v>
      </c>
      <c r="U10" s="23">
        <v>0.0</v>
      </c>
      <c r="V10" s="28">
        <f>110*4</f>
        <v>440</v>
      </c>
      <c r="W10" s="28">
        <v>440.0</v>
      </c>
      <c r="X10" s="28">
        <v>440.0</v>
      </c>
      <c r="Y10" s="10"/>
      <c r="Z10" s="10"/>
      <c r="AA10" s="10"/>
      <c r="AB10" s="10"/>
      <c r="AC10" s="10"/>
      <c r="AD10" s="10"/>
    </row>
    <row r="11">
      <c r="A11" s="12" t="s">
        <v>154</v>
      </c>
      <c r="B11" s="12" t="s">
        <v>41</v>
      </c>
      <c r="C11" s="49" t="s">
        <v>158</v>
      </c>
      <c r="D11" s="12" t="s">
        <v>43</v>
      </c>
      <c r="E11" s="12" t="s">
        <v>46</v>
      </c>
      <c r="F11" s="46">
        <v>46032.0</v>
      </c>
      <c r="G11" s="12" t="s">
        <v>130</v>
      </c>
      <c r="H11" s="50" t="s">
        <v>174</v>
      </c>
      <c r="I11" s="18" t="s">
        <v>186</v>
      </c>
      <c r="J11" s="50" t="s">
        <v>188</v>
      </c>
      <c r="K11" s="19">
        <v>0.2976</v>
      </c>
      <c r="L11" s="20">
        <v>79680.0</v>
      </c>
      <c r="M11" s="22">
        <v>0.0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3">
        <v>0.0</v>
      </c>
      <c r="T11" s="23">
        <v>0.0</v>
      </c>
      <c r="U11" s="23">
        <v>0.0</v>
      </c>
      <c r="V11" s="28">
        <f t="shared" ref="V11:X11" si="1">1600*4</f>
        <v>6400</v>
      </c>
      <c r="W11" s="28">
        <f t="shared" si="1"/>
        <v>6400</v>
      </c>
      <c r="X11" s="28">
        <f t="shared" si="1"/>
        <v>6400</v>
      </c>
      <c r="Y11" s="10"/>
      <c r="Z11" s="10"/>
      <c r="AA11" s="10"/>
      <c r="AB11" s="10"/>
      <c r="AC11" s="10"/>
      <c r="AD11" s="10"/>
    </row>
    <row r="12">
      <c r="F12" s="51"/>
    </row>
    <row r="13">
      <c r="F13" s="51"/>
    </row>
    <row r="14">
      <c r="F14" s="51"/>
    </row>
    <row r="15">
      <c r="F15" s="51"/>
    </row>
    <row r="16">
      <c r="F16" s="51"/>
    </row>
    <row r="17">
      <c r="F17" s="51"/>
    </row>
    <row r="18">
      <c r="F18" s="51"/>
    </row>
    <row r="19">
      <c r="F19" s="51"/>
    </row>
    <row r="20">
      <c r="F20" s="51"/>
    </row>
    <row r="21">
      <c r="F21" s="51"/>
    </row>
    <row r="22">
      <c r="F22" s="51"/>
    </row>
    <row r="23">
      <c r="F23" s="51"/>
    </row>
    <row r="24">
      <c r="F24" s="51"/>
    </row>
    <row r="25">
      <c r="F25" s="51"/>
    </row>
    <row r="26">
      <c r="F26" s="51"/>
    </row>
    <row r="27">
      <c r="F27" s="51"/>
    </row>
    <row r="28">
      <c r="F28" s="51"/>
    </row>
    <row r="29">
      <c r="F29" s="51"/>
    </row>
    <row r="30">
      <c r="F30" s="51"/>
    </row>
    <row r="31">
      <c r="F31" s="51"/>
    </row>
    <row r="32">
      <c r="F32" s="51"/>
    </row>
    <row r="33">
      <c r="F33" s="51"/>
    </row>
    <row r="34">
      <c r="F34" s="51"/>
    </row>
    <row r="35">
      <c r="F35" s="51"/>
    </row>
    <row r="36">
      <c r="F36" s="51"/>
    </row>
    <row r="37">
      <c r="F37" s="51"/>
    </row>
    <row r="38">
      <c r="F38" s="51"/>
    </row>
    <row r="39">
      <c r="F39" s="51"/>
    </row>
    <row r="40">
      <c r="F40" s="51"/>
    </row>
    <row r="41">
      <c r="F41" s="51"/>
    </row>
    <row r="42">
      <c r="F42" s="51"/>
    </row>
    <row r="43">
      <c r="F43" s="51"/>
    </row>
    <row r="44">
      <c r="F44" s="51"/>
    </row>
    <row r="45">
      <c r="F45" s="51"/>
    </row>
    <row r="46">
      <c r="F46" s="51"/>
    </row>
    <row r="47">
      <c r="F47" s="51"/>
    </row>
    <row r="48">
      <c r="F48" s="51"/>
    </row>
    <row r="49">
      <c r="F49" s="51"/>
    </row>
    <row r="50">
      <c r="F50" s="51"/>
    </row>
    <row r="51">
      <c r="F51" s="51"/>
    </row>
    <row r="52">
      <c r="F52" s="51"/>
    </row>
    <row r="53">
      <c r="F53" s="51"/>
    </row>
    <row r="54">
      <c r="F54" s="51"/>
    </row>
    <row r="55">
      <c r="F55" s="51"/>
    </row>
    <row r="56">
      <c r="F56" s="51"/>
    </row>
    <row r="57">
      <c r="F57" s="51"/>
    </row>
    <row r="58">
      <c r="F58" s="51"/>
    </row>
    <row r="59">
      <c r="F59" s="51"/>
    </row>
    <row r="60">
      <c r="F60" s="51"/>
    </row>
    <row r="61">
      <c r="F61" s="51"/>
    </row>
    <row r="62">
      <c r="F62" s="51"/>
    </row>
    <row r="63">
      <c r="F63" s="51"/>
    </row>
    <row r="64">
      <c r="F64" s="51"/>
    </row>
    <row r="65">
      <c r="F65" s="51"/>
    </row>
    <row r="66">
      <c r="F66" s="51"/>
    </row>
    <row r="67">
      <c r="F67" s="51"/>
    </row>
    <row r="68">
      <c r="F68" s="51"/>
    </row>
    <row r="69">
      <c r="F69" s="51"/>
    </row>
    <row r="70">
      <c r="F70" s="51"/>
    </row>
    <row r="71">
      <c r="F71" s="51"/>
    </row>
    <row r="72">
      <c r="F72" s="51"/>
    </row>
    <row r="73">
      <c r="F73" s="51"/>
    </row>
    <row r="74">
      <c r="F74" s="51"/>
    </row>
    <row r="75">
      <c r="F75" s="51"/>
    </row>
    <row r="76">
      <c r="F76" s="51"/>
    </row>
    <row r="77">
      <c r="F77" s="51"/>
    </row>
    <row r="78">
      <c r="F78" s="51"/>
    </row>
    <row r="79">
      <c r="F79" s="51"/>
    </row>
    <row r="80">
      <c r="F80" s="51"/>
    </row>
    <row r="81">
      <c r="F81" s="51"/>
    </row>
    <row r="82">
      <c r="F82" s="51"/>
    </row>
    <row r="83">
      <c r="F83" s="51"/>
    </row>
    <row r="84">
      <c r="F84" s="51"/>
    </row>
    <row r="85">
      <c r="F85" s="51"/>
    </row>
    <row r="86">
      <c r="F86" s="51"/>
    </row>
    <row r="87">
      <c r="F87" s="51"/>
    </row>
    <row r="88">
      <c r="F88" s="51"/>
    </row>
    <row r="89">
      <c r="F89" s="51"/>
    </row>
    <row r="90">
      <c r="F90" s="51"/>
    </row>
    <row r="91">
      <c r="F91" s="51"/>
    </row>
    <row r="92">
      <c r="F92" s="51"/>
    </row>
    <row r="93">
      <c r="F93" s="51"/>
    </row>
    <row r="94">
      <c r="F94" s="51"/>
    </row>
    <row r="95">
      <c r="F95" s="51"/>
    </row>
    <row r="96">
      <c r="F96" s="51"/>
    </row>
    <row r="97">
      <c r="F97" s="51"/>
    </row>
    <row r="98">
      <c r="F98" s="51"/>
    </row>
    <row r="99">
      <c r="F99" s="51"/>
    </row>
    <row r="100">
      <c r="F100" s="51"/>
    </row>
    <row r="101">
      <c r="F101" s="51"/>
    </row>
    <row r="102">
      <c r="F102" s="51"/>
    </row>
    <row r="103">
      <c r="F103" s="51"/>
    </row>
    <row r="104">
      <c r="F104" s="51"/>
    </row>
    <row r="105">
      <c r="F105" s="51"/>
    </row>
    <row r="106">
      <c r="F106" s="51"/>
    </row>
    <row r="107">
      <c r="F107" s="51"/>
    </row>
    <row r="108">
      <c r="F108" s="51"/>
    </row>
    <row r="109">
      <c r="F109" s="51"/>
    </row>
    <row r="110">
      <c r="F110" s="51"/>
    </row>
    <row r="111">
      <c r="F111" s="51"/>
    </row>
    <row r="112">
      <c r="F112" s="51"/>
    </row>
    <row r="113">
      <c r="F113" s="51"/>
    </row>
    <row r="114">
      <c r="F114" s="51"/>
    </row>
    <row r="115">
      <c r="F115" s="51"/>
    </row>
    <row r="116">
      <c r="F116" s="51"/>
    </row>
    <row r="117">
      <c r="F117" s="51"/>
    </row>
    <row r="118">
      <c r="F118" s="51"/>
    </row>
    <row r="119">
      <c r="F119" s="51"/>
    </row>
    <row r="120">
      <c r="F120" s="51"/>
    </row>
    <row r="121">
      <c r="F121" s="51"/>
    </row>
    <row r="122">
      <c r="F122" s="51"/>
    </row>
    <row r="123">
      <c r="F123" s="51"/>
    </row>
    <row r="124">
      <c r="F124" s="51"/>
    </row>
    <row r="125">
      <c r="F125" s="51"/>
    </row>
    <row r="126">
      <c r="F126" s="51"/>
    </row>
    <row r="127">
      <c r="F127" s="51"/>
    </row>
    <row r="128">
      <c r="F128" s="51"/>
    </row>
    <row r="129">
      <c r="F129" s="51"/>
    </row>
    <row r="130">
      <c r="F130" s="51"/>
    </row>
    <row r="131">
      <c r="F131" s="51"/>
    </row>
    <row r="132">
      <c r="F132" s="51"/>
    </row>
    <row r="133">
      <c r="F133" s="51"/>
    </row>
    <row r="134">
      <c r="F134" s="51"/>
    </row>
    <row r="135">
      <c r="F135" s="51"/>
    </row>
    <row r="136">
      <c r="F136" s="51"/>
    </row>
    <row r="137">
      <c r="F137" s="51"/>
    </row>
    <row r="138">
      <c r="F138" s="51"/>
    </row>
    <row r="139">
      <c r="F139" s="51"/>
    </row>
    <row r="140">
      <c r="F140" s="51"/>
    </row>
    <row r="141">
      <c r="F141" s="51"/>
    </row>
    <row r="142">
      <c r="F142" s="51"/>
    </row>
    <row r="143">
      <c r="F143" s="51"/>
    </row>
    <row r="144">
      <c r="F144" s="51"/>
    </row>
    <row r="145">
      <c r="F145" s="51"/>
    </row>
    <row r="146">
      <c r="F146" s="51"/>
    </row>
    <row r="147">
      <c r="F147" s="51"/>
    </row>
    <row r="148">
      <c r="F148" s="51"/>
    </row>
    <row r="149">
      <c r="F149" s="51"/>
    </row>
    <row r="150">
      <c r="F150" s="51"/>
    </row>
    <row r="151">
      <c r="F151" s="51"/>
    </row>
    <row r="152">
      <c r="F152" s="51"/>
    </row>
    <row r="153">
      <c r="F153" s="51"/>
    </row>
    <row r="154">
      <c r="F154" s="51"/>
    </row>
    <row r="155">
      <c r="F155" s="51"/>
    </row>
    <row r="156">
      <c r="F156" s="51"/>
    </row>
    <row r="157">
      <c r="F157" s="51"/>
    </row>
    <row r="158">
      <c r="F158" s="51"/>
    </row>
    <row r="159">
      <c r="F159" s="51"/>
    </row>
    <row r="160">
      <c r="F160" s="51"/>
    </row>
    <row r="161">
      <c r="F161" s="51"/>
    </row>
    <row r="162">
      <c r="F162" s="51"/>
    </row>
    <row r="163">
      <c r="F163" s="51"/>
    </row>
    <row r="164">
      <c r="F164" s="51"/>
    </row>
    <row r="165">
      <c r="F165" s="51"/>
    </row>
    <row r="166">
      <c r="F166" s="51"/>
    </row>
    <row r="167">
      <c r="F167" s="51"/>
    </row>
    <row r="168">
      <c r="F168" s="51"/>
    </row>
    <row r="169">
      <c r="F169" s="51"/>
    </row>
    <row r="170">
      <c r="F170" s="51"/>
    </row>
    <row r="171">
      <c r="F171" s="51"/>
    </row>
    <row r="172">
      <c r="F172" s="51"/>
    </row>
    <row r="173">
      <c r="F173" s="51"/>
    </row>
    <row r="174">
      <c r="F174" s="51"/>
    </row>
    <row r="175">
      <c r="F175" s="51"/>
    </row>
    <row r="176">
      <c r="F176" s="51"/>
    </row>
    <row r="177">
      <c r="F177" s="51"/>
    </row>
    <row r="178">
      <c r="F178" s="51"/>
    </row>
    <row r="179">
      <c r="F179" s="51"/>
    </row>
    <row r="180">
      <c r="F180" s="51"/>
    </row>
    <row r="181">
      <c r="F181" s="51"/>
    </row>
    <row r="182">
      <c r="F182" s="51"/>
    </row>
    <row r="183">
      <c r="F183" s="51"/>
    </row>
    <row r="184">
      <c r="F184" s="51"/>
    </row>
    <row r="185">
      <c r="F185" s="51"/>
    </row>
    <row r="186">
      <c r="F186" s="51"/>
    </row>
    <row r="187">
      <c r="F187" s="51"/>
    </row>
    <row r="188">
      <c r="F188" s="51"/>
    </row>
    <row r="189">
      <c r="F189" s="51"/>
    </row>
    <row r="190">
      <c r="F190" s="51"/>
    </row>
    <row r="191">
      <c r="F191" s="51"/>
    </row>
    <row r="192">
      <c r="F192" s="51"/>
    </row>
    <row r="193">
      <c r="F193" s="51"/>
    </row>
    <row r="194">
      <c r="F194" s="51"/>
    </row>
    <row r="195">
      <c r="F195" s="51"/>
    </row>
    <row r="196">
      <c r="F196" s="51"/>
    </row>
    <row r="197">
      <c r="F197" s="51"/>
    </row>
    <row r="198">
      <c r="F198" s="51"/>
    </row>
    <row r="199">
      <c r="F199" s="51"/>
    </row>
    <row r="200">
      <c r="F200" s="51"/>
    </row>
    <row r="201">
      <c r="F201" s="51"/>
    </row>
    <row r="202">
      <c r="F202" s="51"/>
    </row>
    <row r="203">
      <c r="F203" s="51"/>
    </row>
    <row r="204">
      <c r="F204" s="51"/>
    </row>
    <row r="205">
      <c r="F205" s="51"/>
    </row>
    <row r="206">
      <c r="F206" s="51"/>
    </row>
    <row r="207">
      <c r="F207" s="51"/>
    </row>
    <row r="208">
      <c r="F208" s="51"/>
    </row>
    <row r="209">
      <c r="F209" s="51"/>
    </row>
    <row r="210">
      <c r="F210" s="51"/>
    </row>
    <row r="211">
      <c r="F211" s="51"/>
    </row>
    <row r="212">
      <c r="F212" s="51"/>
    </row>
    <row r="213">
      <c r="F213" s="51"/>
    </row>
    <row r="214">
      <c r="F214" s="51"/>
    </row>
    <row r="215">
      <c r="F215" s="51"/>
    </row>
    <row r="216">
      <c r="F216" s="51"/>
    </row>
    <row r="217">
      <c r="F217" s="51"/>
    </row>
    <row r="218">
      <c r="F218" s="51"/>
    </row>
    <row r="219">
      <c r="F219" s="51"/>
    </row>
    <row r="220">
      <c r="F220" s="51"/>
    </row>
    <row r="221">
      <c r="F221" s="51"/>
    </row>
    <row r="222">
      <c r="F222" s="51"/>
    </row>
    <row r="223">
      <c r="F223" s="51"/>
    </row>
    <row r="224">
      <c r="F224" s="51"/>
    </row>
    <row r="225">
      <c r="F225" s="51"/>
    </row>
    <row r="226">
      <c r="F226" s="51"/>
    </row>
    <row r="227">
      <c r="F227" s="51"/>
    </row>
    <row r="228">
      <c r="F228" s="51"/>
    </row>
    <row r="229">
      <c r="F229" s="51"/>
    </row>
    <row r="230">
      <c r="F230" s="51"/>
    </row>
    <row r="231">
      <c r="F231" s="51"/>
    </row>
    <row r="232">
      <c r="F232" s="51"/>
    </row>
    <row r="233">
      <c r="F233" s="51"/>
    </row>
    <row r="234">
      <c r="F234" s="51"/>
    </row>
    <row r="235">
      <c r="F235" s="51"/>
    </row>
    <row r="236">
      <c r="F236" s="51"/>
    </row>
    <row r="237">
      <c r="F237" s="51"/>
    </row>
    <row r="238">
      <c r="F238" s="51"/>
    </row>
    <row r="239">
      <c r="F239" s="51"/>
    </row>
    <row r="240">
      <c r="F240" s="51"/>
    </row>
    <row r="241">
      <c r="F241" s="51"/>
    </row>
    <row r="242">
      <c r="F242" s="51"/>
    </row>
    <row r="243">
      <c r="F243" s="51"/>
    </row>
    <row r="244">
      <c r="F244" s="51"/>
    </row>
    <row r="245">
      <c r="F245" s="51"/>
    </row>
    <row r="246">
      <c r="F246" s="51"/>
    </row>
    <row r="247">
      <c r="F247" s="51"/>
    </row>
    <row r="248">
      <c r="F248" s="51"/>
    </row>
    <row r="249">
      <c r="F249" s="51"/>
    </row>
    <row r="250">
      <c r="F250" s="51"/>
    </row>
    <row r="251">
      <c r="F251" s="51"/>
    </row>
    <row r="252">
      <c r="F252" s="51"/>
    </row>
    <row r="253">
      <c r="F253" s="51"/>
    </row>
    <row r="254">
      <c r="F254" s="51"/>
    </row>
    <row r="255">
      <c r="F255" s="51"/>
    </row>
    <row r="256">
      <c r="F256" s="51"/>
    </row>
    <row r="257">
      <c r="F257" s="51"/>
    </row>
    <row r="258">
      <c r="F258" s="51"/>
    </row>
    <row r="259">
      <c r="F259" s="51"/>
    </row>
    <row r="260">
      <c r="F260" s="51"/>
    </row>
    <row r="261">
      <c r="F261" s="51"/>
    </row>
    <row r="262">
      <c r="F262" s="51"/>
    </row>
    <row r="263">
      <c r="F263" s="51"/>
    </row>
    <row r="264">
      <c r="F264" s="51"/>
    </row>
    <row r="265">
      <c r="F265" s="51"/>
    </row>
    <row r="266">
      <c r="F266" s="51"/>
    </row>
    <row r="267">
      <c r="F267" s="51"/>
    </row>
    <row r="268">
      <c r="F268" s="51"/>
    </row>
    <row r="269">
      <c r="F269" s="51"/>
    </row>
    <row r="270">
      <c r="F270" s="51"/>
    </row>
    <row r="271">
      <c r="F271" s="51"/>
    </row>
    <row r="272">
      <c r="F272" s="51"/>
    </row>
    <row r="273">
      <c r="F273" s="51"/>
    </row>
    <row r="274">
      <c r="F274" s="51"/>
    </row>
    <row r="275">
      <c r="F275" s="51"/>
    </row>
    <row r="276">
      <c r="F276" s="51"/>
    </row>
    <row r="277">
      <c r="F277" s="51"/>
    </row>
    <row r="278">
      <c r="F278" s="51"/>
    </row>
    <row r="279">
      <c r="F279" s="51"/>
    </row>
    <row r="280">
      <c r="F280" s="51"/>
    </row>
    <row r="281">
      <c r="F281" s="51"/>
    </row>
    <row r="282">
      <c r="F282" s="51"/>
    </row>
    <row r="283">
      <c r="F283" s="51"/>
    </row>
    <row r="284">
      <c r="F284" s="51"/>
    </row>
    <row r="285">
      <c r="F285" s="51"/>
    </row>
    <row r="286">
      <c r="F286" s="51"/>
    </row>
    <row r="287">
      <c r="F287" s="51"/>
    </row>
    <row r="288">
      <c r="F288" s="51"/>
    </row>
    <row r="289">
      <c r="F289" s="51"/>
    </row>
    <row r="290">
      <c r="F290" s="51"/>
    </row>
    <row r="291">
      <c r="F291" s="51"/>
    </row>
    <row r="292">
      <c r="F292" s="51"/>
    </row>
    <row r="293">
      <c r="F293" s="51"/>
    </row>
    <row r="294">
      <c r="F294" s="51"/>
    </row>
    <row r="295">
      <c r="F295" s="51"/>
    </row>
    <row r="296">
      <c r="F296" s="51"/>
    </row>
    <row r="297">
      <c r="F297" s="51"/>
    </row>
    <row r="298">
      <c r="F298" s="51"/>
    </row>
    <row r="299">
      <c r="F299" s="51"/>
    </row>
    <row r="300">
      <c r="F300" s="51"/>
    </row>
    <row r="301">
      <c r="F301" s="51"/>
    </row>
    <row r="302">
      <c r="F302" s="51"/>
    </row>
    <row r="303">
      <c r="F303" s="51"/>
    </row>
    <row r="304">
      <c r="F304" s="51"/>
    </row>
    <row r="305">
      <c r="F305" s="51"/>
    </row>
    <row r="306">
      <c r="F306" s="51"/>
    </row>
    <row r="307">
      <c r="F307" s="51"/>
    </row>
    <row r="308">
      <c r="F308" s="51"/>
    </row>
    <row r="309">
      <c r="F309" s="51"/>
    </row>
    <row r="310">
      <c r="F310" s="51"/>
    </row>
    <row r="311">
      <c r="F311" s="51"/>
    </row>
    <row r="312">
      <c r="F312" s="51"/>
    </row>
    <row r="313">
      <c r="F313" s="51"/>
    </row>
    <row r="314">
      <c r="F314" s="51"/>
    </row>
    <row r="315">
      <c r="F315" s="51"/>
    </row>
    <row r="316">
      <c r="F316" s="51"/>
    </row>
    <row r="317">
      <c r="F317" s="51"/>
    </row>
    <row r="318">
      <c r="F318" s="51"/>
    </row>
    <row r="319">
      <c r="F319" s="51"/>
    </row>
    <row r="320">
      <c r="F320" s="51"/>
    </row>
    <row r="321">
      <c r="F321" s="51"/>
    </row>
    <row r="322">
      <c r="F322" s="51"/>
    </row>
    <row r="323">
      <c r="F323" s="51"/>
    </row>
    <row r="324">
      <c r="F324" s="51"/>
    </row>
    <row r="325">
      <c r="F325" s="51"/>
    </row>
    <row r="326">
      <c r="F326" s="51"/>
    </row>
    <row r="327">
      <c r="F327" s="51"/>
    </row>
    <row r="328">
      <c r="F328" s="51"/>
    </row>
    <row r="329">
      <c r="F329" s="51"/>
    </row>
    <row r="330">
      <c r="F330" s="51"/>
    </row>
    <row r="331">
      <c r="F331" s="51"/>
    </row>
    <row r="332">
      <c r="F332" s="51"/>
    </row>
    <row r="333">
      <c r="F333" s="51"/>
    </row>
    <row r="334">
      <c r="F334" s="51"/>
    </row>
    <row r="335">
      <c r="F335" s="51"/>
    </row>
    <row r="336">
      <c r="F336" s="51"/>
    </row>
    <row r="337">
      <c r="F337" s="51"/>
    </row>
    <row r="338">
      <c r="F338" s="51"/>
    </row>
    <row r="339">
      <c r="F339" s="51"/>
    </row>
    <row r="340">
      <c r="F340" s="51"/>
    </row>
    <row r="341">
      <c r="F341" s="51"/>
    </row>
    <row r="342">
      <c r="F342" s="51"/>
    </row>
    <row r="343">
      <c r="F343" s="51"/>
    </row>
    <row r="344">
      <c r="F344" s="51"/>
    </row>
    <row r="345">
      <c r="F345" s="51"/>
    </row>
    <row r="346">
      <c r="F346" s="51"/>
    </row>
    <row r="347">
      <c r="F347" s="51"/>
    </row>
    <row r="348">
      <c r="F348" s="51"/>
    </row>
    <row r="349">
      <c r="F349" s="51"/>
    </row>
    <row r="350">
      <c r="F350" s="51"/>
    </row>
    <row r="351">
      <c r="F351" s="51"/>
    </row>
    <row r="352">
      <c r="F352" s="51"/>
    </row>
    <row r="353">
      <c r="F353" s="51"/>
    </row>
    <row r="354">
      <c r="F354" s="51"/>
    </row>
    <row r="355">
      <c r="F355" s="51"/>
    </row>
    <row r="356">
      <c r="F356" s="51"/>
    </row>
    <row r="357">
      <c r="F357" s="51"/>
    </row>
    <row r="358">
      <c r="F358" s="51"/>
    </row>
    <row r="359">
      <c r="F359" s="51"/>
    </row>
    <row r="360">
      <c r="F360" s="51"/>
    </row>
    <row r="361">
      <c r="F361" s="51"/>
    </row>
    <row r="362">
      <c r="F362" s="51"/>
    </row>
    <row r="363">
      <c r="F363" s="51"/>
    </row>
    <row r="364">
      <c r="F364" s="51"/>
    </row>
    <row r="365">
      <c r="F365" s="51"/>
    </row>
    <row r="366">
      <c r="F366" s="51"/>
    </row>
    <row r="367">
      <c r="F367" s="51"/>
    </row>
    <row r="368">
      <c r="F368" s="51"/>
    </row>
    <row r="369">
      <c r="F369" s="51"/>
    </row>
    <row r="370">
      <c r="F370" s="51"/>
    </row>
    <row r="371">
      <c r="F371" s="51"/>
    </row>
    <row r="372">
      <c r="F372" s="51"/>
    </row>
    <row r="373">
      <c r="F373" s="51"/>
    </row>
    <row r="374">
      <c r="F374" s="51"/>
    </row>
    <row r="375">
      <c r="F375" s="51"/>
    </row>
    <row r="376">
      <c r="F376" s="51"/>
    </row>
    <row r="377">
      <c r="F377" s="51"/>
    </row>
    <row r="378">
      <c r="F378" s="51"/>
    </row>
    <row r="379">
      <c r="F379" s="51"/>
    </row>
    <row r="380">
      <c r="F380" s="51"/>
    </row>
    <row r="381">
      <c r="F381" s="51"/>
    </row>
    <row r="382">
      <c r="F382" s="51"/>
    </row>
    <row r="383">
      <c r="F383" s="51"/>
    </row>
    <row r="384">
      <c r="F384" s="51"/>
    </row>
    <row r="385">
      <c r="F385" s="51"/>
    </row>
    <row r="386">
      <c r="F386" s="51"/>
    </row>
    <row r="387">
      <c r="F387" s="51"/>
    </row>
    <row r="388">
      <c r="F388" s="51"/>
    </row>
    <row r="389">
      <c r="F389" s="51"/>
    </row>
    <row r="390">
      <c r="F390" s="51"/>
    </row>
    <row r="391">
      <c r="F391" s="51"/>
    </row>
    <row r="392">
      <c r="F392" s="51"/>
    </row>
    <row r="393">
      <c r="F393" s="51"/>
    </row>
    <row r="394">
      <c r="F394" s="51"/>
    </row>
    <row r="395">
      <c r="F395" s="51"/>
    </row>
    <row r="396">
      <c r="F396" s="51"/>
    </row>
    <row r="397">
      <c r="F397" s="51"/>
    </row>
    <row r="398">
      <c r="F398" s="51"/>
    </row>
    <row r="399">
      <c r="F399" s="51"/>
    </row>
    <row r="400">
      <c r="F400" s="51"/>
    </row>
    <row r="401">
      <c r="F401" s="51"/>
    </row>
    <row r="402">
      <c r="F402" s="51"/>
    </row>
    <row r="403">
      <c r="F403" s="51"/>
    </row>
    <row r="404">
      <c r="F404" s="51"/>
    </row>
    <row r="405">
      <c r="F405" s="51"/>
    </row>
    <row r="406">
      <c r="F406" s="51"/>
    </row>
    <row r="407">
      <c r="F407" s="51"/>
    </row>
    <row r="408">
      <c r="F408" s="51"/>
    </row>
    <row r="409">
      <c r="F409" s="51"/>
    </row>
    <row r="410">
      <c r="F410" s="51"/>
    </row>
    <row r="411">
      <c r="F411" s="51"/>
    </row>
    <row r="412">
      <c r="F412" s="51"/>
    </row>
    <row r="413">
      <c r="F413" s="51"/>
    </row>
    <row r="414">
      <c r="F414" s="51"/>
    </row>
    <row r="415">
      <c r="F415" s="51"/>
    </row>
    <row r="416">
      <c r="F416" s="51"/>
    </row>
    <row r="417">
      <c r="F417" s="51"/>
    </row>
    <row r="418">
      <c r="F418" s="51"/>
    </row>
    <row r="419">
      <c r="F419" s="51"/>
    </row>
    <row r="420">
      <c r="F420" s="51"/>
    </row>
    <row r="421">
      <c r="F421" s="51"/>
    </row>
    <row r="422">
      <c r="F422" s="51"/>
    </row>
    <row r="423">
      <c r="F423" s="51"/>
    </row>
    <row r="424">
      <c r="F424" s="51"/>
    </row>
    <row r="425">
      <c r="F425" s="51"/>
    </row>
    <row r="426">
      <c r="F426" s="51"/>
    </row>
    <row r="427">
      <c r="F427" s="51"/>
    </row>
    <row r="428">
      <c r="F428" s="51"/>
    </row>
    <row r="429">
      <c r="F429" s="51"/>
    </row>
    <row r="430">
      <c r="F430" s="51"/>
    </row>
    <row r="431">
      <c r="F431" s="51"/>
    </row>
    <row r="432">
      <c r="F432" s="51"/>
    </row>
    <row r="433">
      <c r="F433" s="51"/>
    </row>
    <row r="434">
      <c r="F434" s="51"/>
    </row>
    <row r="435">
      <c r="F435" s="51"/>
    </row>
    <row r="436">
      <c r="F436" s="51"/>
    </row>
    <row r="437">
      <c r="F437" s="51"/>
    </row>
    <row r="438">
      <c r="F438" s="51"/>
    </row>
    <row r="439">
      <c r="F439" s="51"/>
    </row>
    <row r="440">
      <c r="F440" s="51"/>
    </row>
    <row r="441">
      <c r="F441" s="51"/>
    </row>
    <row r="442">
      <c r="F442" s="51"/>
    </row>
    <row r="443">
      <c r="F443" s="51"/>
    </row>
    <row r="444">
      <c r="F444" s="51"/>
    </row>
    <row r="445">
      <c r="F445" s="51"/>
    </row>
    <row r="446">
      <c r="F446" s="51"/>
    </row>
    <row r="447">
      <c r="F447" s="51"/>
    </row>
    <row r="448">
      <c r="F448" s="51"/>
    </row>
    <row r="449">
      <c r="F449" s="51"/>
    </row>
    <row r="450">
      <c r="F450" s="51"/>
    </row>
    <row r="451">
      <c r="F451" s="51"/>
    </row>
    <row r="452">
      <c r="F452" s="51"/>
    </row>
    <row r="453">
      <c r="F453" s="51"/>
    </row>
    <row r="454">
      <c r="F454" s="51"/>
    </row>
    <row r="455">
      <c r="F455" s="51"/>
    </row>
    <row r="456">
      <c r="F456" s="51"/>
    </row>
    <row r="457">
      <c r="F457" s="51"/>
    </row>
    <row r="458">
      <c r="F458" s="51"/>
    </row>
    <row r="459">
      <c r="F459" s="51"/>
    </row>
    <row r="460">
      <c r="F460" s="51"/>
    </row>
    <row r="461">
      <c r="F461" s="51"/>
    </row>
    <row r="462">
      <c r="F462" s="51"/>
    </row>
    <row r="463">
      <c r="F463" s="51"/>
    </row>
    <row r="464">
      <c r="F464" s="51"/>
    </row>
    <row r="465">
      <c r="F465" s="51"/>
    </row>
    <row r="466">
      <c r="F466" s="51"/>
    </row>
    <row r="467">
      <c r="F467" s="51"/>
    </row>
    <row r="468">
      <c r="F468" s="51"/>
    </row>
    <row r="469">
      <c r="F469" s="51"/>
    </row>
    <row r="470">
      <c r="F470" s="51"/>
    </row>
    <row r="471">
      <c r="F471" s="51"/>
    </row>
    <row r="472">
      <c r="F472" s="51"/>
    </row>
    <row r="473">
      <c r="F473" s="51"/>
    </row>
    <row r="474">
      <c r="F474" s="51"/>
    </row>
    <row r="475">
      <c r="F475" s="51"/>
    </row>
    <row r="476">
      <c r="F476" s="51"/>
    </row>
    <row r="477">
      <c r="F477" s="51"/>
    </row>
    <row r="478">
      <c r="F478" s="51"/>
    </row>
    <row r="479">
      <c r="F479" s="51"/>
    </row>
    <row r="480">
      <c r="F480" s="51"/>
    </row>
    <row r="481">
      <c r="F481" s="51"/>
    </row>
    <row r="482">
      <c r="F482" s="51"/>
    </row>
    <row r="483">
      <c r="F483" s="51"/>
    </row>
    <row r="484">
      <c r="F484" s="51"/>
    </row>
    <row r="485">
      <c r="F485" s="51"/>
    </row>
    <row r="486">
      <c r="F486" s="51"/>
    </row>
    <row r="487">
      <c r="F487" s="51"/>
    </row>
    <row r="488">
      <c r="F488" s="51"/>
    </row>
    <row r="489">
      <c r="F489" s="51"/>
    </row>
    <row r="490">
      <c r="F490" s="51"/>
    </row>
    <row r="491">
      <c r="F491" s="51"/>
    </row>
    <row r="492">
      <c r="F492" s="51"/>
    </row>
    <row r="493">
      <c r="F493" s="51"/>
    </row>
    <row r="494">
      <c r="F494" s="51"/>
    </row>
    <row r="495">
      <c r="F495" s="51"/>
    </row>
    <row r="496">
      <c r="F496" s="51"/>
    </row>
    <row r="497">
      <c r="F497" s="51"/>
    </row>
    <row r="498">
      <c r="F498" s="51"/>
    </row>
    <row r="499">
      <c r="F499" s="51"/>
    </row>
    <row r="500">
      <c r="F500" s="51"/>
    </row>
    <row r="501">
      <c r="F501" s="51"/>
    </row>
    <row r="502">
      <c r="F502" s="51"/>
    </row>
    <row r="503">
      <c r="F503" s="51"/>
    </row>
    <row r="504">
      <c r="F504" s="51"/>
    </row>
    <row r="505">
      <c r="F505" s="51"/>
    </row>
    <row r="506">
      <c r="F506" s="51"/>
    </row>
    <row r="507">
      <c r="F507" s="51"/>
    </row>
    <row r="508">
      <c r="F508" s="51"/>
    </row>
    <row r="509">
      <c r="F509" s="51"/>
    </row>
    <row r="510">
      <c r="F510" s="51"/>
    </row>
    <row r="511">
      <c r="F511" s="51"/>
    </row>
    <row r="512">
      <c r="F512" s="51"/>
    </row>
    <row r="513">
      <c r="F513" s="51"/>
    </row>
    <row r="514">
      <c r="F514" s="51"/>
    </row>
    <row r="515">
      <c r="F515" s="51"/>
    </row>
    <row r="516">
      <c r="F516" s="51"/>
    </row>
    <row r="517">
      <c r="F517" s="51"/>
    </row>
    <row r="518">
      <c r="F518" s="51"/>
    </row>
    <row r="519">
      <c r="F519" s="51"/>
    </row>
    <row r="520">
      <c r="F520" s="51"/>
    </row>
    <row r="521">
      <c r="F521" s="51"/>
    </row>
    <row r="522">
      <c r="F522" s="51"/>
    </row>
    <row r="523">
      <c r="F523" s="51"/>
    </row>
    <row r="524">
      <c r="F524" s="51"/>
    </row>
    <row r="525">
      <c r="F525" s="51"/>
    </row>
    <row r="526">
      <c r="F526" s="51"/>
    </row>
    <row r="527">
      <c r="F527" s="51"/>
    </row>
    <row r="528">
      <c r="F528" s="51"/>
    </row>
    <row r="529">
      <c r="F529" s="51"/>
    </row>
    <row r="530">
      <c r="F530" s="51"/>
    </row>
    <row r="531">
      <c r="F531" s="51"/>
    </row>
    <row r="532">
      <c r="F532" s="51"/>
    </row>
    <row r="533">
      <c r="F533" s="51"/>
    </row>
    <row r="534">
      <c r="F534" s="51"/>
    </row>
    <row r="535">
      <c r="F535" s="51"/>
    </row>
    <row r="536">
      <c r="F536" s="51"/>
    </row>
    <row r="537">
      <c r="F537" s="51"/>
    </row>
    <row r="538">
      <c r="F538" s="51"/>
    </row>
    <row r="539">
      <c r="F539" s="51"/>
    </row>
    <row r="540">
      <c r="F540" s="51"/>
    </row>
    <row r="541">
      <c r="F541" s="51"/>
    </row>
    <row r="542">
      <c r="F542" s="51"/>
    </row>
    <row r="543">
      <c r="F543" s="51"/>
    </row>
    <row r="544">
      <c r="F544" s="51"/>
    </row>
    <row r="545">
      <c r="F545" s="51"/>
    </row>
    <row r="546">
      <c r="F546" s="51"/>
    </row>
    <row r="547">
      <c r="F547" s="51"/>
    </row>
    <row r="548">
      <c r="F548" s="51"/>
    </row>
    <row r="549">
      <c r="F549" s="51"/>
    </row>
    <row r="550">
      <c r="F550" s="51"/>
    </row>
    <row r="551">
      <c r="F551" s="51"/>
    </row>
    <row r="552">
      <c r="F552" s="51"/>
    </row>
    <row r="553">
      <c r="F553" s="51"/>
    </row>
    <row r="554">
      <c r="F554" s="51"/>
    </row>
    <row r="555">
      <c r="F555" s="51"/>
    </row>
    <row r="556">
      <c r="F556" s="51"/>
    </row>
    <row r="557">
      <c r="F557" s="51"/>
    </row>
    <row r="558">
      <c r="F558" s="51"/>
    </row>
    <row r="559">
      <c r="F559" s="51"/>
    </row>
    <row r="560">
      <c r="F560" s="51"/>
    </row>
    <row r="561">
      <c r="F561" s="51"/>
    </row>
    <row r="562">
      <c r="F562" s="51"/>
    </row>
    <row r="563">
      <c r="F563" s="51"/>
    </row>
    <row r="564">
      <c r="F564" s="51"/>
    </row>
    <row r="565">
      <c r="F565" s="51"/>
    </row>
    <row r="566">
      <c r="F566" s="51"/>
    </row>
    <row r="567">
      <c r="F567" s="51"/>
    </row>
    <row r="568">
      <c r="F568" s="51"/>
    </row>
    <row r="569">
      <c r="F569" s="51"/>
    </row>
    <row r="570">
      <c r="F570" s="51"/>
    </row>
    <row r="571">
      <c r="F571" s="51"/>
    </row>
    <row r="572">
      <c r="F572" s="51"/>
    </row>
    <row r="573">
      <c r="F573" s="51"/>
    </row>
    <row r="574">
      <c r="F574" s="51"/>
    </row>
    <row r="575">
      <c r="F575" s="51"/>
    </row>
    <row r="576">
      <c r="F576" s="51"/>
    </row>
    <row r="577">
      <c r="F577" s="51"/>
    </row>
    <row r="578">
      <c r="F578" s="51"/>
    </row>
    <row r="579">
      <c r="F579" s="51"/>
    </row>
    <row r="580">
      <c r="F580" s="51"/>
    </row>
    <row r="581">
      <c r="F581" s="51"/>
    </row>
    <row r="582">
      <c r="F582" s="51"/>
    </row>
    <row r="583">
      <c r="F583" s="51"/>
    </row>
    <row r="584">
      <c r="F584" s="51"/>
    </row>
    <row r="585">
      <c r="F585" s="51"/>
    </row>
    <row r="586">
      <c r="F586" s="51"/>
    </row>
    <row r="587">
      <c r="F587" s="51"/>
    </row>
    <row r="588">
      <c r="F588" s="51"/>
    </row>
    <row r="589">
      <c r="F589" s="51"/>
    </row>
    <row r="590">
      <c r="F590" s="51"/>
    </row>
    <row r="591">
      <c r="F591" s="51"/>
    </row>
    <row r="592">
      <c r="F592" s="51"/>
    </row>
    <row r="593">
      <c r="F593" s="51"/>
    </row>
    <row r="594">
      <c r="F594" s="51"/>
    </row>
    <row r="595">
      <c r="F595" s="51"/>
    </row>
    <row r="596">
      <c r="F596" s="51"/>
    </row>
    <row r="597">
      <c r="F597" s="51"/>
    </row>
    <row r="598">
      <c r="F598" s="51"/>
    </row>
    <row r="599">
      <c r="F599" s="51"/>
    </row>
    <row r="600">
      <c r="F600" s="51"/>
    </row>
    <row r="601">
      <c r="F601" s="51"/>
    </row>
    <row r="602">
      <c r="F602" s="51"/>
    </row>
    <row r="603">
      <c r="F603" s="51"/>
    </row>
    <row r="604">
      <c r="F604" s="51"/>
    </row>
    <row r="605">
      <c r="F605" s="51"/>
    </row>
    <row r="606">
      <c r="F606" s="51"/>
    </row>
    <row r="607">
      <c r="F607" s="51"/>
    </row>
    <row r="608">
      <c r="F608" s="51"/>
    </row>
    <row r="609">
      <c r="F609" s="51"/>
    </row>
    <row r="610">
      <c r="F610" s="51"/>
    </row>
    <row r="611">
      <c r="F611" s="51"/>
    </row>
    <row r="612">
      <c r="F612" s="51"/>
    </row>
    <row r="613">
      <c r="F613" s="51"/>
    </row>
    <row r="614">
      <c r="F614" s="51"/>
    </row>
    <row r="615">
      <c r="F615" s="51"/>
    </row>
    <row r="616">
      <c r="F616" s="51"/>
    </row>
    <row r="617">
      <c r="F617" s="51"/>
    </row>
    <row r="618">
      <c r="F618" s="51"/>
    </row>
    <row r="619">
      <c r="F619" s="51"/>
    </row>
    <row r="620">
      <c r="F620" s="51"/>
    </row>
    <row r="621">
      <c r="F621" s="51"/>
    </row>
    <row r="622">
      <c r="F622" s="51"/>
    </row>
    <row r="623">
      <c r="F623" s="51"/>
    </row>
    <row r="624">
      <c r="F624" s="51"/>
    </row>
    <row r="625">
      <c r="F625" s="51"/>
    </row>
    <row r="626">
      <c r="F626" s="51"/>
    </row>
    <row r="627">
      <c r="F627" s="51"/>
    </row>
    <row r="628">
      <c r="F628" s="51"/>
    </row>
    <row r="629">
      <c r="F629" s="51"/>
    </row>
    <row r="630">
      <c r="F630" s="51"/>
    </row>
    <row r="631">
      <c r="F631" s="51"/>
    </row>
    <row r="632">
      <c r="F632" s="51"/>
    </row>
    <row r="633">
      <c r="F633" s="51"/>
    </row>
    <row r="634">
      <c r="F634" s="51"/>
    </row>
    <row r="635">
      <c r="F635" s="51"/>
    </row>
    <row r="636">
      <c r="F636" s="51"/>
    </row>
    <row r="637">
      <c r="F637" s="51"/>
    </row>
    <row r="638">
      <c r="F638" s="51"/>
    </row>
    <row r="639">
      <c r="F639" s="51"/>
    </row>
    <row r="640">
      <c r="F640" s="51"/>
    </row>
    <row r="641">
      <c r="F641" s="51"/>
    </row>
    <row r="642">
      <c r="F642" s="51"/>
    </row>
    <row r="643">
      <c r="F643" s="51"/>
    </row>
    <row r="644">
      <c r="F644" s="51"/>
    </row>
    <row r="645">
      <c r="F645" s="51"/>
    </row>
    <row r="646">
      <c r="F646" s="51"/>
    </row>
    <row r="647">
      <c r="F647" s="51"/>
    </row>
    <row r="648">
      <c r="F648" s="51"/>
    </row>
    <row r="649">
      <c r="F649" s="51"/>
    </row>
    <row r="650">
      <c r="F650" s="51"/>
    </row>
    <row r="651">
      <c r="F651" s="51"/>
    </row>
    <row r="652">
      <c r="F652" s="51"/>
    </row>
    <row r="653">
      <c r="F653" s="51"/>
    </row>
    <row r="654">
      <c r="F654" s="51"/>
    </row>
    <row r="655">
      <c r="F655" s="51"/>
    </row>
    <row r="656">
      <c r="F656" s="51"/>
    </row>
    <row r="657">
      <c r="F657" s="51"/>
    </row>
    <row r="658">
      <c r="F658" s="51"/>
    </row>
    <row r="659">
      <c r="F659" s="51"/>
    </row>
    <row r="660">
      <c r="F660" s="51"/>
    </row>
    <row r="661">
      <c r="F661" s="51"/>
    </row>
    <row r="662">
      <c r="F662" s="51"/>
    </row>
    <row r="663">
      <c r="F663" s="51"/>
    </row>
    <row r="664">
      <c r="F664" s="51"/>
    </row>
    <row r="665">
      <c r="F665" s="51"/>
    </row>
    <row r="666">
      <c r="F666" s="51"/>
    </row>
    <row r="667">
      <c r="F667" s="51"/>
    </row>
    <row r="668">
      <c r="F668" s="51"/>
    </row>
    <row r="669">
      <c r="F669" s="51"/>
    </row>
    <row r="670">
      <c r="F670" s="51"/>
    </row>
    <row r="671">
      <c r="F671" s="51"/>
    </row>
    <row r="672">
      <c r="F672" s="51"/>
    </row>
    <row r="673">
      <c r="F673" s="51"/>
    </row>
    <row r="674">
      <c r="F674" s="51"/>
    </row>
    <row r="675">
      <c r="F675" s="51"/>
    </row>
    <row r="676">
      <c r="F676" s="51"/>
    </row>
    <row r="677">
      <c r="F677" s="51"/>
    </row>
    <row r="678">
      <c r="F678" s="51"/>
    </row>
    <row r="679">
      <c r="F679" s="51"/>
    </row>
    <row r="680">
      <c r="F680" s="51"/>
    </row>
    <row r="681">
      <c r="F681" s="51"/>
    </row>
    <row r="682">
      <c r="F682" s="51"/>
    </row>
    <row r="683">
      <c r="F683" s="51"/>
    </row>
    <row r="684">
      <c r="F684" s="51"/>
    </row>
    <row r="685">
      <c r="F685" s="51"/>
    </row>
    <row r="686">
      <c r="F686" s="51"/>
    </row>
    <row r="687">
      <c r="F687" s="51"/>
    </row>
    <row r="688">
      <c r="F688" s="51"/>
    </row>
    <row r="689">
      <c r="F689" s="51"/>
    </row>
    <row r="690">
      <c r="F690" s="51"/>
    </row>
    <row r="691">
      <c r="F691" s="51"/>
    </row>
    <row r="692">
      <c r="F692" s="51"/>
    </row>
    <row r="693">
      <c r="F693" s="51"/>
    </row>
    <row r="694">
      <c r="F694" s="51"/>
    </row>
    <row r="695">
      <c r="F695" s="51"/>
    </row>
    <row r="696">
      <c r="F696" s="51"/>
    </row>
    <row r="697">
      <c r="F697" s="51"/>
    </row>
    <row r="698">
      <c r="F698" s="51"/>
    </row>
    <row r="699">
      <c r="F699" s="51"/>
    </row>
    <row r="700">
      <c r="F700" s="51"/>
    </row>
    <row r="701">
      <c r="F701" s="51"/>
    </row>
    <row r="702">
      <c r="F702" s="51"/>
    </row>
    <row r="703">
      <c r="F703" s="51"/>
    </row>
    <row r="704">
      <c r="F704" s="51"/>
    </row>
    <row r="705">
      <c r="F705" s="51"/>
    </row>
    <row r="706">
      <c r="F706" s="51"/>
    </row>
    <row r="707">
      <c r="F707" s="51"/>
    </row>
    <row r="708">
      <c r="F708" s="51"/>
    </row>
    <row r="709">
      <c r="F709" s="51"/>
    </row>
    <row r="710">
      <c r="F710" s="51"/>
    </row>
    <row r="711">
      <c r="F711" s="51"/>
    </row>
    <row r="712">
      <c r="F712" s="51"/>
    </row>
    <row r="713">
      <c r="F713" s="51"/>
    </row>
    <row r="714">
      <c r="F714" s="51"/>
    </row>
    <row r="715">
      <c r="F715" s="51"/>
    </row>
    <row r="716">
      <c r="F716" s="51"/>
    </row>
    <row r="717">
      <c r="F717" s="51"/>
    </row>
    <row r="718">
      <c r="F718" s="51"/>
    </row>
    <row r="719">
      <c r="F719" s="51"/>
    </row>
    <row r="720">
      <c r="F720" s="51"/>
    </row>
    <row r="721">
      <c r="F721" s="51"/>
    </row>
    <row r="722">
      <c r="F722" s="51"/>
    </row>
    <row r="723">
      <c r="F723" s="51"/>
    </row>
    <row r="724">
      <c r="F724" s="51"/>
    </row>
    <row r="725">
      <c r="F725" s="51"/>
    </row>
    <row r="726">
      <c r="F726" s="51"/>
    </row>
    <row r="727">
      <c r="F727" s="51"/>
    </row>
    <row r="728">
      <c r="F728" s="51"/>
    </row>
    <row r="729">
      <c r="F729" s="51"/>
    </row>
    <row r="730">
      <c r="F730" s="51"/>
    </row>
    <row r="731">
      <c r="F731" s="51"/>
    </row>
    <row r="732">
      <c r="F732" s="51"/>
    </row>
    <row r="733">
      <c r="F733" s="51"/>
    </row>
    <row r="734">
      <c r="F734" s="51"/>
    </row>
    <row r="735">
      <c r="F735" s="51"/>
    </row>
    <row r="736">
      <c r="F736" s="51"/>
    </row>
    <row r="737">
      <c r="F737" s="51"/>
    </row>
    <row r="738">
      <c r="F738" s="51"/>
    </row>
    <row r="739">
      <c r="F739" s="51"/>
    </row>
    <row r="740">
      <c r="F740" s="51"/>
    </row>
    <row r="741">
      <c r="F741" s="51"/>
    </row>
    <row r="742">
      <c r="F742" s="51"/>
    </row>
    <row r="743">
      <c r="F743" s="51"/>
    </row>
    <row r="744">
      <c r="F744" s="51"/>
    </row>
    <row r="745">
      <c r="F745" s="51"/>
    </row>
    <row r="746">
      <c r="F746" s="51"/>
    </row>
    <row r="747">
      <c r="F747" s="51"/>
    </row>
    <row r="748">
      <c r="F748" s="51"/>
    </row>
    <row r="749">
      <c r="F749" s="51"/>
    </row>
    <row r="750">
      <c r="F750" s="51"/>
    </row>
    <row r="751">
      <c r="F751" s="51"/>
    </row>
    <row r="752">
      <c r="F752" s="51"/>
    </row>
    <row r="753">
      <c r="F753" s="51"/>
    </row>
    <row r="754">
      <c r="F754" s="51"/>
    </row>
    <row r="755">
      <c r="F755" s="51"/>
    </row>
    <row r="756">
      <c r="F756" s="51"/>
    </row>
    <row r="757">
      <c r="F757" s="51"/>
    </row>
    <row r="758">
      <c r="F758" s="51"/>
    </row>
    <row r="759">
      <c r="F759" s="51"/>
    </row>
    <row r="760">
      <c r="F760" s="51"/>
    </row>
    <row r="761">
      <c r="F761" s="51"/>
    </row>
    <row r="762">
      <c r="F762" s="51"/>
    </row>
    <row r="763">
      <c r="F763" s="51"/>
    </row>
    <row r="764">
      <c r="F764" s="51"/>
    </row>
    <row r="765">
      <c r="F765" s="51"/>
    </row>
    <row r="766">
      <c r="F766" s="51"/>
    </row>
    <row r="767">
      <c r="F767" s="51"/>
    </row>
    <row r="768">
      <c r="F768" s="51"/>
    </row>
    <row r="769">
      <c r="F769" s="51"/>
    </row>
    <row r="770">
      <c r="F770" s="51"/>
    </row>
    <row r="771">
      <c r="F771" s="51"/>
    </row>
    <row r="772">
      <c r="F772" s="51"/>
    </row>
    <row r="773">
      <c r="F773" s="51"/>
    </row>
    <row r="774">
      <c r="F774" s="51"/>
    </row>
    <row r="775">
      <c r="F775" s="51"/>
    </row>
    <row r="776">
      <c r="F776" s="51"/>
    </row>
    <row r="777">
      <c r="F777" s="51"/>
    </row>
    <row r="778">
      <c r="F778" s="51"/>
    </row>
    <row r="779">
      <c r="F779" s="51"/>
    </row>
    <row r="780">
      <c r="F780" s="51"/>
    </row>
    <row r="781">
      <c r="F781" s="51"/>
    </row>
    <row r="782">
      <c r="F782" s="51"/>
    </row>
    <row r="783">
      <c r="F783" s="51"/>
    </row>
    <row r="784">
      <c r="F784" s="51"/>
    </row>
    <row r="785">
      <c r="F785" s="51"/>
    </row>
    <row r="786">
      <c r="F786" s="51"/>
    </row>
    <row r="787">
      <c r="F787" s="51"/>
    </row>
    <row r="788">
      <c r="F788" s="51"/>
    </row>
    <row r="789">
      <c r="F789" s="51"/>
    </row>
    <row r="790">
      <c r="F790" s="51"/>
    </row>
    <row r="791">
      <c r="F791" s="51"/>
    </row>
    <row r="792">
      <c r="F792" s="51"/>
    </row>
    <row r="793">
      <c r="F793" s="51"/>
    </row>
    <row r="794">
      <c r="F794" s="51"/>
    </row>
    <row r="795">
      <c r="F795" s="51"/>
    </row>
    <row r="796">
      <c r="F796" s="51"/>
    </row>
    <row r="797">
      <c r="F797" s="51"/>
    </row>
    <row r="798">
      <c r="F798" s="51"/>
    </row>
    <row r="799">
      <c r="F799" s="51"/>
    </row>
    <row r="800">
      <c r="F800" s="51"/>
    </row>
    <row r="801">
      <c r="F801" s="51"/>
    </row>
    <row r="802">
      <c r="F802" s="51"/>
    </row>
    <row r="803">
      <c r="F803" s="51"/>
    </row>
    <row r="804">
      <c r="F804" s="51"/>
    </row>
    <row r="805">
      <c r="F805" s="51"/>
    </row>
    <row r="806">
      <c r="F806" s="51"/>
    </row>
    <row r="807">
      <c r="F807" s="51"/>
    </row>
    <row r="808">
      <c r="F808" s="51"/>
    </row>
    <row r="809">
      <c r="F809" s="51"/>
    </row>
    <row r="810">
      <c r="F810" s="51"/>
    </row>
    <row r="811">
      <c r="F811" s="51"/>
    </row>
    <row r="812">
      <c r="F812" s="51"/>
    </row>
    <row r="813">
      <c r="F813" s="51"/>
    </row>
    <row r="814">
      <c r="F814" s="51"/>
    </row>
    <row r="815">
      <c r="F815" s="51"/>
    </row>
    <row r="816">
      <c r="F816" s="51"/>
    </row>
    <row r="817">
      <c r="F817" s="51"/>
    </row>
    <row r="818">
      <c r="F818" s="51"/>
    </row>
    <row r="819">
      <c r="F819" s="51"/>
    </row>
    <row r="820">
      <c r="F820" s="51"/>
    </row>
    <row r="821">
      <c r="F821" s="51"/>
    </row>
    <row r="822">
      <c r="F822" s="51"/>
    </row>
    <row r="823">
      <c r="F823" s="51"/>
    </row>
    <row r="824">
      <c r="F824" s="51"/>
    </row>
    <row r="825">
      <c r="F825" s="51"/>
    </row>
    <row r="826">
      <c r="F826" s="51"/>
    </row>
    <row r="827">
      <c r="F827" s="51"/>
    </row>
    <row r="828">
      <c r="F828" s="51"/>
    </row>
    <row r="829">
      <c r="F829" s="51"/>
    </row>
    <row r="830">
      <c r="F830" s="51"/>
    </row>
    <row r="831">
      <c r="F831" s="51"/>
    </row>
    <row r="832">
      <c r="F832" s="51"/>
    </row>
    <row r="833">
      <c r="F833" s="51"/>
    </row>
    <row r="834">
      <c r="F834" s="51"/>
    </row>
    <row r="835">
      <c r="F835" s="51"/>
    </row>
    <row r="836">
      <c r="F836" s="51"/>
    </row>
    <row r="837">
      <c r="F837" s="51"/>
    </row>
    <row r="838">
      <c r="F838" s="51"/>
    </row>
    <row r="839">
      <c r="F839" s="51"/>
    </row>
    <row r="840">
      <c r="F840" s="51"/>
    </row>
    <row r="841">
      <c r="F841" s="51"/>
    </row>
    <row r="842">
      <c r="F842" s="51"/>
    </row>
    <row r="843">
      <c r="F843" s="51"/>
    </row>
    <row r="844">
      <c r="F844" s="51"/>
    </row>
    <row r="845">
      <c r="F845" s="51"/>
    </row>
    <row r="846">
      <c r="F846" s="51"/>
    </row>
    <row r="847">
      <c r="F847" s="51"/>
    </row>
    <row r="848">
      <c r="F848" s="51"/>
    </row>
    <row r="849">
      <c r="F849" s="51"/>
    </row>
    <row r="850">
      <c r="F850" s="51"/>
    </row>
    <row r="851">
      <c r="F851" s="51"/>
    </row>
    <row r="852">
      <c r="F852" s="51"/>
    </row>
    <row r="853">
      <c r="F853" s="51"/>
    </row>
    <row r="854">
      <c r="F854" s="51"/>
    </row>
    <row r="855">
      <c r="F855" s="51"/>
    </row>
    <row r="856">
      <c r="F856" s="51"/>
    </row>
    <row r="857">
      <c r="F857" s="51"/>
    </row>
    <row r="858">
      <c r="F858" s="51"/>
    </row>
    <row r="859">
      <c r="F859" s="51"/>
    </row>
    <row r="860">
      <c r="F860" s="51"/>
    </row>
    <row r="861">
      <c r="F861" s="51"/>
    </row>
    <row r="862">
      <c r="F862" s="51"/>
    </row>
    <row r="863">
      <c r="F863" s="51"/>
    </row>
    <row r="864">
      <c r="F864" s="51"/>
    </row>
    <row r="865">
      <c r="F865" s="51"/>
    </row>
    <row r="866">
      <c r="F866" s="51"/>
    </row>
    <row r="867">
      <c r="F867" s="51"/>
    </row>
    <row r="868">
      <c r="F868" s="51"/>
    </row>
    <row r="869">
      <c r="F869" s="51"/>
    </row>
    <row r="870">
      <c r="F870" s="51"/>
    </row>
    <row r="871">
      <c r="F871" s="51"/>
    </row>
    <row r="872">
      <c r="F872" s="51"/>
    </row>
    <row r="873">
      <c r="F873" s="51"/>
    </row>
    <row r="874">
      <c r="F874" s="51"/>
    </row>
    <row r="875">
      <c r="F875" s="51"/>
    </row>
    <row r="876">
      <c r="F876" s="51"/>
    </row>
    <row r="877">
      <c r="F877" s="51"/>
    </row>
    <row r="878">
      <c r="F878" s="51"/>
    </row>
    <row r="879">
      <c r="F879" s="51"/>
    </row>
    <row r="880">
      <c r="F880" s="51"/>
    </row>
    <row r="881">
      <c r="F881" s="51"/>
    </row>
    <row r="882">
      <c r="F882" s="51"/>
    </row>
    <row r="883">
      <c r="F883" s="51"/>
    </row>
    <row r="884">
      <c r="F884" s="51"/>
    </row>
    <row r="885">
      <c r="F885" s="51"/>
    </row>
    <row r="886">
      <c r="F886" s="51"/>
    </row>
    <row r="887">
      <c r="F887" s="51"/>
    </row>
    <row r="888">
      <c r="F888" s="51"/>
    </row>
    <row r="889">
      <c r="F889" s="51"/>
    </row>
    <row r="890">
      <c r="F890" s="51"/>
    </row>
    <row r="891">
      <c r="F891" s="51"/>
    </row>
    <row r="892">
      <c r="F892" s="51"/>
    </row>
    <row r="893">
      <c r="F893" s="51"/>
    </row>
    <row r="894">
      <c r="F894" s="51"/>
    </row>
    <row r="895">
      <c r="F895" s="51"/>
    </row>
    <row r="896">
      <c r="F896" s="51"/>
    </row>
    <row r="897">
      <c r="F897" s="51"/>
    </row>
    <row r="898">
      <c r="F898" s="51"/>
    </row>
    <row r="899">
      <c r="F899" s="51"/>
    </row>
    <row r="900">
      <c r="F900" s="51"/>
    </row>
    <row r="901">
      <c r="F901" s="51"/>
    </row>
    <row r="902">
      <c r="F902" s="51"/>
    </row>
    <row r="903">
      <c r="F903" s="51"/>
    </row>
    <row r="904">
      <c r="F904" s="51"/>
    </row>
    <row r="905">
      <c r="F905" s="51"/>
    </row>
    <row r="906">
      <c r="F906" s="51"/>
    </row>
    <row r="907">
      <c r="F907" s="51"/>
    </row>
    <row r="908">
      <c r="F908" s="51"/>
    </row>
    <row r="909">
      <c r="F909" s="51"/>
    </row>
    <row r="910">
      <c r="F910" s="51"/>
    </row>
    <row r="911">
      <c r="F911" s="51"/>
    </row>
    <row r="912">
      <c r="F912" s="51"/>
    </row>
    <row r="913">
      <c r="F913" s="51"/>
    </row>
    <row r="914">
      <c r="F914" s="51"/>
    </row>
    <row r="915">
      <c r="F915" s="51"/>
    </row>
    <row r="916">
      <c r="F916" s="51"/>
    </row>
    <row r="917">
      <c r="F917" s="51"/>
    </row>
    <row r="918">
      <c r="F918" s="51"/>
    </row>
    <row r="919">
      <c r="F919" s="51"/>
    </row>
    <row r="920">
      <c r="F920" s="51"/>
    </row>
    <row r="921">
      <c r="F921" s="51"/>
    </row>
    <row r="922">
      <c r="F922" s="51"/>
    </row>
    <row r="923">
      <c r="F923" s="51"/>
    </row>
    <row r="924">
      <c r="F924" s="51"/>
    </row>
    <row r="925">
      <c r="F925" s="51"/>
    </row>
    <row r="926">
      <c r="F926" s="51"/>
    </row>
    <row r="927">
      <c r="F927" s="51"/>
    </row>
    <row r="928">
      <c r="F928" s="51"/>
    </row>
    <row r="929">
      <c r="F929" s="51"/>
    </row>
    <row r="930">
      <c r="F930" s="51"/>
    </row>
    <row r="931">
      <c r="F931" s="51"/>
    </row>
    <row r="932">
      <c r="F932" s="51"/>
    </row>
    <row r="933">
      <c r="F933" s="51"/>
    </row>
    <row r="934">
      <c r="F934" s="51"/>
    </row>
    <row r="935">
      <c r="F935" s="51"/>
    </row>
    <row r="936">
      <c r="F936" s="51"/>
    </row>
    <row r="937">
      <c r="F937" s="51"/>
    </row>
    <row r="938">
      <c r="F938" s="51"/>
    </row>
    <row r="939">
      <c r="F939" s="51"/>
    </row>
    <row r="940">
      <c r="F940" s="51"/>
    </row>
    <row r="941">
      <c r="F941" s="51"/>
    </row>
    <row r="942">
      <c r="F942" s="51"/>
    </row>
    <row r="943">
      <c r="F943" s="51"/>
    </row>
    <row r="944">
      <c r="F944" s="51"/>
    </row>
    <row r="945">
      <c r="F945" s="51"/>
    </row>
    <row r="946">
      <c r="F946" s="51"/>
    </row>
    <row r="947">
      <c r="F947" s="51"/>
    </row>
    <row r="948">
      <c r="F948" s="51"/>
    </row>
    <row r="949">
      <c r="F949" s="51"/>
    </row>
    <row r="950">
      <c r="F950" s="51"/>
    </row>
    <row r="951">
      <c r="F951" s="51"/>
    </row>
    <row r="952">
      <c r="F952" s="51"/>
    </row>
    <row r="953">
      <c r="F953" s="51"/>
    </row>
    <row r="954">
      <c r="F954" s="51"/>
    </row>
    <row r="955">
      <c r="F955" s="51"/>
    </row>
    <row r="956">
      <c r="F956" s="51"/>
    </row>
    <row r="957">
      <c r="F957" s="51"/>
    </row>
    <row r="958">
      <c r="F958" s="51"/>
    </row>
    <row r="959">
      <c r="F959" s="51"/>
    </row>
    <row r="960">
      <c r="F960" s="51"/>
    </row>
    <row r="961">
      <c r="F961" s="51"/>
    </row>
    <row r="962">
      <c r="F962" s="51"/>
    </row>
    <row r="963">
      <c r="F963" s="51"/>
    </row>
    <row r="964">
      <c r="F964" s="51"/>
    </row>
    <row r="965">
      <c r="F965" s="51"/>
    </row>
    <row r="966">
      <c r="F966" s="51"/>
    </row>
    <row r="967">
      <c r="F967" s="51"/>
    </row>
    <row r="968">
      <c r="F968" s="51"/>
    </row>
    <row r="969">
      <c r="F969" s="51"/>
    </row>
    <row r="970">
      <c r="F970" s="51"/>
    </row>
    <row r="971">
      <c r="F971" s="51"/>
    </row>
    <row r="972">
      <c r="F972" s="51"/>
    </row>
    <row r="973">
      <c r="F973" s="51"/>
    </row>
    <row r="974">
      <c r="F974" s="51"/>
    </row>
    <row r="975">
      <c r="F975" s="51"/>
    </row>
    <row r="976">
      <c r="F976" s="51"/>
    </row>
    <row r="977">
      <c r="F977" s="51"/>
    </row>
    <row r="978">
      <c r="F978" s="51"/>
    </row>
    <row r="979">
      <c r="F979" s="51"/>
    </row>
    <row r="980">
      <c r="F980" s="51"/>
    </row>
    <row r="981">
      <c r="F981" s="51"/>
    </row>
    <row r="982">
      <c r="F982" s="51"/>
    </row>
    <row r="983">
      <c r="F983" s="51"/>
    </row>
    <row r="984">
      <c r="F984" s="51"/>
    </row>
    <row r="985">
      <c r="F985" s="51"/>
    </row>
    <row r="986">
      <c r="F986" s="51"/>
    </row>
    <row r="987">
      <c r="F987" s="51"/>
    </row>
    <row r="988">
      <c r="F988" s="51"/>
    </row>
    <row r="989">
      <c r="F989" s="51"/>
    </row>
    <row r="990">
      <c r="F990" s="51"/>
    </row>
    <row r="991">
      <c r="F991" s="51"/>
    </row>
    <row r="992">
      <c r="F992" s="51"/>
    </row>
    <row r="993">
      <c r="F993" s="51"/>
    </row>
    <row r="994">
      <c r="F994" s="51"/>
    </row>
    <row r="995">
      <c r="F995" s="51"/>
    </row>
    <row r="996">
      <c r="F996" s="51"/>
    </row>
    <row r="997">
      <c r="F997" s="51"/>
    </row>
    <row r="998">
      <c r="F998" s="51"/>
    </row>
  </sheetData>
  <dataValidations>
    <dataValidation type="list" allowBlank="1" showErrorMessage="1" sqref="G2:G11">
      <formula1>"Completed,Delivered,In Progress,On Hold,Cancel,Pending Customer"</formula1>
    </dataValidation>
    <dataValidation type="list" allowBlank="1" showErrorMessage="1" sqref="E2:E11">
      <formula1>"DIA,Broadband,EPL/PLL,IEPL,Eng Serv.,Managed Serv.,Eaas,Other"</formula1>
    </dataValidation>
  </dataValidations>
  <hyperlinks>
    <hyperlink r:id="rId1" location="search/SRV0050323" ref="C11"/>
    <hyperlink r:id="rId2" ref="H11"/>
    <hyperlink r:id="rId3" ref="J11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20.13"/>
    <col customWidth="1" min="3" max="3" width="11.88"/>
    <col customWidth="1" min="4" max="4" width="109.63"/>
    <col customWidth="1" min="5" max="5" width="15.63"/>
    <col customWidth="1" min="6" max="6" width="17.63"/>
    <col customWidth="1" min="7" max="7" width="14.38"/>
    <col customWidth="1" min="8" max="8" width="6.88"/>
    <col customWidth="1" min="9" max="10" width="13.38"/>
  </cols>
  <sheetData>
    <row r="1">
      <c r="A1" s="2" t="s">
        <v>1</v>
      </c>
      <c r="B1" s="2" t="s">
        <v>7</v>
      </c>
      <c r="C1" s="2" t="s">
        <v>9</v>
      </c>
      <c r="D1" s="2" t="s">
        <v>11</v>
      </c>
      <c r="E1" s="2" t="s">
        <v>13</v>
      </c>
      <c r="F1" s="2" t="s">
        <v>17</v>
      </c>
      <c r="G1" s="2" t="s">
        <v>18</v>
      </c>
      <c r="H1" s="2" t="s">
        <v>19</v>
      </c>
      <c r="I1" s="2" t="s">
        <v>21</v>
      </c>
      <c r="J1" s="2" t="s">
        <v>22</v>
      </c>
    </row>
    <row r="2">
      <c r="A2" s="5" t="s">
        <v>27</v>
      </c>
      <c r="B2" s="7" t="s">
        <v>33</v>
      </c>
      <c r="C2" s="9" t="s">
        <v>36</v>
      </c>
      <c r="D2" s="11" t="s">
        <v>37</v>
      </c>
      <c r="E2" s="13" t="s">
        <v>39</v>
      </c>
      <c r="F2" s="13" t="s">
        <v>44</v>
      </c>
      <c r="G2" s="13" t="s">
        <v>45</v>
      </c>
      <c r="H2" s="9">
        <v>12.0</v>
      </c>
      <c r="I2" s="16">
        <v>6000.0</v>
      </c>
      <c r="J2" s="17">
        <v>0.0</v>
      </c>
    </row>
    <row r="3">
      <c r="A3" s="5" t="s">
        <v>27</v>
      </c>
      <c r="B3" s="7" t="s">
        <v>33</v>
      </c>
      <c r="C3" s="9" t="s">
        <v>51</v>
      </c>
      <c r="D3" s="11" t="s">
        <v>52</v>
      </c>
      <c r="E3" s="13" t="s">
        <v>39</v>
      </c>
      <c r="F3" s="13" t="s">
        <v>53</v>
      </c>
      <c r="G3" s="13" t="s">
        <v>55</v>
      </c>
      <c r="H3" s="9">
        <v>12.0</v>
      </c>
      <c r="I3" s="16">
        <v>6000.0</v>
      </c>
      <c r="J3" s="24">
        <v>5174.0</v>
      </c>
    </row>
    <row r="4">
      <c r="A4" s="5" t="s">
        <v>41</v>
      </c>
      <c r="B4" s="7" t="s">
        <v>46</v>
      </c>
      <c r="C4" s="9" t="s">
        <v>57</v>
      </c>
      <c r="D4" s="11" t="s">
        <v>58</v>
      </c>
      <c r="E4" s="13" t="s">
        <v>39</v>
      </c>
      <c r="F4" s="13" t="s">
        <v>44</v>
      </c>
      <c r="G4" s="13" t="s">
        <v>55</v>
      </c>
      <c r="H4" s="9">
        <v>60.0</v>
      </c>
      <c r="I4" s="16">
        <v>0.0</v>
      </c>
      <c r="J4" s="24">
        <v>1875.0</v>
      </c>
    </row>
    <row r="5">
      <c r="A5" s="5" t="s">
        <v>41</v>
      </c>
      <c r="B5" s="7" t="s">
        <v>61</v>
      </c>
      <c r="C5" s="9" t="s">
        <v>63</v>
      </c>
      <c r="D5" s="11" t="s">
        <v>64</v>
      </c>
      <c r="E5" s="13" t="s">
        <v>39</v>
      </c>
      <c r="F5" s="13" t="s">
        <v>44</v>
      </c>
      <c r="G5" s="13" t="s">
        <v>55</v>
      </c>
      <c r="H5" s="9">
        <v>12.0</v>
      </c>
      <c r="I5" s="16">
        <v>1500.0</v>
      </c>
      <c r="J5" s="24">
        <v>50.0</v>
      </c>
    </row>
    <row r="6">
      <c r="A6" s="5" t="s">
        <v>69</v>
      </c>
      <c r="B6" s="7" t="s">
        <v>33</v>
      </c>
      <c r="C6" s="9" t="s">
        <v>71</v>
      </c>
      <c r="D6" s="11" t="s">
        <v>72</v>
      </c>
      <c r="E6" s="13" t="s">
        <v>39</v>
      </c>
      <c r="F6" s="13" t="s">
        <v>44</v>
      </c>
      <c r="G6" s="13" t="s">
        <v>55</v>
      </c>
      <c r="H6" s="9">
        <v>12.0</v>
      </c>
      <c r="I6" s="16">
        <f>0.25*3000</f>
        <v>750</v>
      </c>
      <c r="J6" s="24">
        <f>0.25*6150</f>
        <v>1537.5</v>
      </c>
    </row>
    <row r="7">
      <c r="A7" s="5" t="s">
        <v>69</v>
      </c>
      <c r="B7" s="7" t="s">
        <v>33</v>
      </c>
      <c r="C7" s="9" t="s">
        <v>86</v>
      </c>
      <c r="D7" s="11" t="s">
        <v>88</v>
      </c>
      <c r="E7" s="13" t="s">
        <v>39</v>
      </c>
      <c r="F7" s="13" t="s">
        <v>44</v>
      </c>
      <c r="G7" s="13" t="s">
        <v>55</v>
      </c>
      <c r="H7" s="9">
        <v>12.0</v>
      </c>
      <c r="I7" s="16">
        <v>0.0</v>
      </c>
      <c r="J7" s="24">
        <v>2181.0</v>
      </c>
    </row>
    <row r="8">
      <c r="A8" s="5" t="s">
        <v>41</v>
      </c>
      <c r="B8" s="7" t="s">
        <v>46</v>
      </c>
      <c r="C8" s="9" t="s">
        <v>96</v>
      </c>
      <c r="D8" s="11" t="s">
        <v>98</v>
      </c>
      <c r="E8" s="13" t="s">
        <v>39</v>
      </c>
      <c r="F8" s="13" t="s">
        <v>44</v>
      </c>
      <c r="G8" s="13" t="s">
        <v>55</v>
      </c>
      <c r="H8" s="9">
        <v>60.0</v>
      </c>
      <c r="I8" s="16">
        <v>1000.0</v>
      </c>
      <c r="J8" s="24">
        <v>14665.0</v>
      </c>
    </row>
    <row r="9">
      <c r="A9" s="5" t="s">
        <v>69</v>
      </c>
      <c r="B9" s="7" t="s">
        <v>33</v>
      </c>
      <c r="C9" s="9" t="s">
        <v>103</v>
      </c>
      <c r="D9" s="11" t="s">
        <v>104</v>
      </c>
      <c r="E9" s="13" t="s">
        <v>39</v>
      </c>
      <c r="F9" s="13" t="s">
        <v>44</v>
      </c>
      <c r="G9" s="13" t="s">
        <v>55</v>
      </c>
      <c r="H9" s="9">
        <v>12.0</v>
      </c>
      <c r="I9" s="16">
        <v>0.0</v>
      </c>
      <c r="J9" s="24">
        <v>8500.0</v>
      </c>
    </row>
    <row r="10">
      <c r="A10" s="5" t="s">
        <v>41</v>
      </c>
      <c r="B10" s="7" t="s">
        <v>33</v>
      </c>
      <c r="C10" s="9" t="s">
        <v>113</v>
      </c>
      <c r="D10" s="11" t="s">
        <v>115</v>
      </c>
      <c r="E10" s="13" t="s">
        <v>39</v>
      </c>
      <c r="F10" s="13" t="s">
        <v>117</v>
      </c>
      <c r="G10" s="13" t="s">
        <v>55</v>
      </c>
      <c r="H10" s="9">
        <v>36.0</v>
      </c>
      <c r="I10" s="16">
        <f>0.25* 5000</f>
        <v>1250</v>
      </c>
      <c r="J10" s="24">
        <f>0.25*1402</f>
        <v>350.5</v>
      </c>
    </row>
    <row r="11">
      <c r="A11" s="5" t="s">
        <v>41</v>
      </c>
      <c r="B11" s="7" t="s">
        <v>33</v>
      </c>
      <c r="C11" s="9" t="s">
        <v>128</v>
      </c>
      <c r="D11" s="11" t="s">
        <v>115</v>
      </c>
      <c r="E11" s="13" t="s">
        <v>39</v>
      </c>
      <c r="F11" s="13" t="s">
        <v>117</v>
      </c>
      <c r="G11" s="13" t="s">
        <v>55</v>
      </c>
      <c r="H11" s="9">
        <v>36.0</v>
      </c>
      <c r="I11" s="44">
        <v>0.0</v>
      </c>
      <c r="J11" s="17">
        <v>0.0</v>
      </c>
    </row>
    <row r="12">
      <c r="A12" s="5" t="s">
        <v>27</v>
      </c>
      <c r="B12" s="7" t="s">
        <v>33</v>
      </c>
      <c r="C12" s="9" t="s">
        <v>140</v>
      </c>
      <c r="D12" s="11" t="s">
        <v>141</v>
      </c>
      <c r="E12" s="13" t="s">
        <v>39</v>
      </c>
      <c r="F12" s="13" t="s">
        <v>44</v>
      </c>
      <c r="G12" s="13" t="s">
        <v>45</v>
      </c>
      <c r="H12" s="9">
        <v>12.0</v>
      </c>
      <c r="I12" s="16">
        <v>6000.0</v>
      </c>
      <c r="J12" s="24">
        <v>3560.0</v>
      </c>
    </row>
    <row r="13">
      <c r="A13" s="5" t="s">
        <v>69</v>
      </c>
      <c r="B13" s="7" t="s">
        <v>33</v>
      </c>
      <c r="C13" s="9" t="s">
        <v>149</v>
      </c>
      <c r="D13" s="11" t="s">
        <v>150</v>
      </c>
      <c r="E13" s="13" t="s">
        <v>39</v>
      </c>
      <c r="F13" s="13" t="s">
        <v>53</v>
      </c>
      <c r="G13" s="13" t="s">
        <v>55</v>
      </c>
      <c r="H13" s="9">
        <v>12.0</v>
      </c>
      <c r="I13" s="16">
        <v>1000.0</v>
      </c>
      <c r="J13" s="24">
        <v>860.0</v>
      </c>
    </row>
    <row r="14">
      <c r="A14" s="5" t="s">
        <v>69</v>
      </c>
      <c r="B14" s="7" t="s">
        <v>33</v>
      </c>
      <c r="C14" s="9" t="s">
        <v>153</v>
      </c>
      <c r="D14" s="11" t="s">
        <v>155</v>
      </c>
      <c r="E14" s="13" t="s">
        <v>39</v>
      </c>
      <c r="F14" s="13" t="s">
        <v>53</v>
      </c>
      <c r="G14" s="13" t="s">
        <v>55</v>
      </c>
      <c r="H14" s="9">
        <v>24.0</v>
      </c>
      <c r="I14" s="16">
        <v>5000.0</v>
      </c>
      <c r="J14" s="24">
        <v>5850.0</v>
      </c>
    </row>
    <row r="15">
      <c r="A15" s="5" t="s">
        <v>69</v>
      </c>
      <c r="B15" s="7" t="s">
        <v>33</v>
      </c>
      <c r="C15" s="9" t="s">
        <v>160</v>
      </c>
      <c r="D15" s="11" t="s">
        <v>161</v>
      </c>
      <c r="E15" s="13" t="s">
        <v>39</v>
      </c>
      <c r="F15" s="13" t="s">
        <v>53</v>
      </c>
      <c r="G15" s="13" t="s">
        <v>55</v>
      </c>
      <c r="H15" s="9">
        <v>12.0</v>
      </c>
      <c r="I15" s="16">
        <v>0.0</v>
      </c>
      <c r="J15" s="24">
        <v>2575.0</v>
      </c>
    </row>
    <row r="16">
      <c r="A16" s="5" t="s">
        <v>41</v>
      </c>
      <c r="B16" s="7" t="s">
        <v>33</v>
      </c>
      <c r="C16" s="9" t="s">
        <v>166</v>
      </c>
      <c r="D16" s="11" t="s">
        <v>167</v>
      </c>
      <c r="E16" s="13" t="s">
        <v>39</v>
      </c>
      <c r="F16" s="13" t="s">
        <v>117</v>
      </c>
      <c r="G16" s="13" t="s">
        <v>55</v>
      </c>
      <c r="H16" s="9">
        <v>60.0</v>
      </c>
      <c r="I16" s="16">
        <v>300.0</v>
      </c>
      <c r="J16" s="24">
        <v>320.0</v>
      </c>
    </row>
    <row r="17">
      <c r="A17" s="5" t="s">
        <v>69</v>
      </c>
      <c r="B17" s="7" t="s">
        <v>33</v>
      </c>
      <c r="C17" s="9" t="s">
        <v>169</v>
      </c>
      <c r="D17" s="11" t="s">
        <v>171</v>
      </c>
      <c r="E17" s="13" t="s">
        <v>39</v>
      </c>
      <c r="F17" s="13" t="s">
        <v>44</v>
      </c>
      <c r="G17" s="13" t="s">
        <v>55</v>
      </c>
      <c r="H17" s="9">
        <v>12.0</v>
      </c>
      <c r="I17" s="16">
        <f>0.25*8000</f>
        <v>2000</v>
      </c>
      <c r="J17" s="24">
        <f>0.25*4500</f>
        <v>1125</v>
      </c>
    </row>
    <row r="18">
      <c r="A18" s="5" t="s">
        <v>41</v>
      </c>
      <c r="B18" s="7" t="s">
        <v>33</v>
      </c>
      <c r="C18" s="9" t="s">
        <v>181</v>
      </c>
      <c r="D18" s="11" t="s">
        <v>182</v>
      </c>
      <c r="E18" s="13" t="s">
        <v>39</v>
      </c>
      <c r="F18" s="13" t="s">
        <v>44</v>
      </c>
      <c r="G18" s="13" t="s">
        <v>45</v>
      </c>
      <c r="H18" s="9">
        <v>12.0</v>
      </c>
      <c r="I18" s="44">
        <v>0.0</v>
      </c>
      <c r="J18" s="16">
        <v>2400.0</v>
      </c>
    </row>
    <row r="19">
      <c r="A19" s="5" t="s">
        <v>185</v>
      </c>
      <c r="B19" s="7" t="s">
        <v>33</v>
      </c>
      <c r="C19" s="9" t="s">
        <v>187</v>
      </c>
      <c r="D19" s="11" t="s">
        <v>189</v>
      </c>
      <c r="E19" s="13" t="s">
        <v>39</v>
      </c>
      <c r="F19" s="13" t="s">
        <v>53</v>
      </c>
      <c r="G19" s="13" t="s">
        <v>55</v>
      </c>
      <c r="H19" s="9">
        <v>12.0</v>
      </c>
      <c r="I19" s="16">
        <f>0.78*2500</f>
        <v>1950</v>
      </c>
      <c r="J19" s="17">
        <f>0.78*1235</f>
        <v>963.3</v>
      </c>
    </row>
    <row r="20">
      <c r="A20" s="5" t="s">
        <v>69</v>
      </c>
      <c r="B20" s="7" t="s">
        <v>33</v>
      </c>
      <c r="C20" s="9" t="s">
        <v>194</v>
      </c>
      <c r="D20" s="11" t="s">
        <v>195</v>
      </c>
      <c r="E20" s="13" t="s">
        <v>39</v>
      </c>
      <c r="F20" s="13" t="s">
        <v>117</v>
      </c>
      <c r="G20" s="13" t="s">
        <v>55</v>
      </c>
      <c r="H20" s="9">
        <v>12.0</v>
      </c>
      <c r="I20" s="16">
        <v>1000.0</v>
      </c>
      <c r="J20" s="24">
        <v>450.0</v>
      </c>
    </row>
    <row r="21">
      <c r="A21" s="5" t="s">
        <v>41</v>
      </c>
      <c r="B21" s="7" t="s">
        <v>46</v>
      </c>
      <c r="C21" s="9" t="s">
        <v>198</v>
      </c>
      <c r="D21" s="11" t="s">
        <v>199</v>
      </c>
      <c r="E21" s="13" t="s">
        <v>39</v>
      </c>
      <c r="F21" s="13" t="s">
        <v>44</v>
      </c>
      <c r="G21" s="13" t="s">
        <v>55</v>
      </c>
      <c r="H21" s="9">
        <v>60.0</v>
      </c>
      <c r="I21" s="16">
        <v>1300.0</v>
      </c>
      <c r="J21" s="24">
        <v>1158.4</v>
      </c>
    </row>
    <row r="22">
      <c r="A22" s="5" t="s">
        <v>27</v>
      </c>
      <c r="B22" s="7" t="s">
        <v>33</v>
      </c>
      <c r="C22" s="9" t="s">
        <v>202</v>
      </c>
      <c r="D22" s="11" t="s">
        <v>203</v>
      </c>
      <c r="E22" s="13" t="s">
        <v>39</v>
      </c>
      <c r="F22" s="13" t="s">
        <v>53</v>
      </c>
      <c r="G22" s="13" t="s">
        <v>55</v>
      </c>
      <c r="H22" s="9">
        <v>12.0</v>
      </c>
      <c r="I22" s="16">
        <f>0.25*10000</f>
        <v>2500</v>
      </c>
      <c r="J22" s="24">
        <f>0.25*22900</f>
        <v>5725</v>
      </c>
    </row>
    <row r="23">
      <c r="A23" s="5" t="s">
        <v>209</v>
      </c>
      <c r="B23" s="7" t="s">
        <v>33</v>
      </c>
      <c r="C23" s="9" t="s">
        <v>211</v>
      </c>
      <c r="D23" s="11" t="s">
        <v>212</v>
      </c>
      <c r="E23" s="13" t="s">
        <v>39</v>
      </c>
      <c r="F23" s="13" t="s">
        <v>53</v>
      </c>
      <c r="G23" s="13" t="s">
        <v>55</v>
      </c>
      <c r="H23" s="9">
        <v>12.0</v>
      </c>
      <c r="I23" s="16">
        <v>0.0</v>
      </c>
      <c r="J23" s="24">
        <v>950.0</v>
      </c>
    </row>
    <row r="24">
      <c r="A24" s="5" t="s">
        <v>27</v>
      </c>
      <c r="B24" s="7" t="s">
        <v>33</v>
      </c>
      <c r="C24" s="9" t="s">
        <v>215</v>
      </c>
      <c r="D24" s="11" t="s">
        <v>216</v>
      </c>
      <c r="E24" s="13" t="s">
        <v>39</v>
      </c>
      <c r="F24" s="13" t="s">
        <v>44</v>
      </c>
      <c r="G24" s="13" t="s">
        <v>55</v>
      </c>
      <c r="H24" s="9">
        <v>12.0</v>
      </c>
      <c r="I24" s="16">
        <v>0.0</v>
      </c>
      <c r="J24" s="24">
        <v>6000.0</v>
      </c>
    </row>
    <row r="25">
      <c r="A25" s="5" t="s">
        <v>69</v>
      </c>
      <c r="B25" s="7" t="s">
        <v>33</v>
      </c>
      <c r="C25" s="9" t="s">
        <v>219</v>
      </c>
      <c r="D25" s="11" t="s">
        <v>220</v>
      </c>
      <c r="E25" s="13" t="s">
        <v>39</v>
      </c>
      <c r="F25" s="13" t="s">
        <v>44</v>
      </c>
      <c r="G25" s="13" t="s">
        <v>55</v>
      </c>
      <c r="H25" s="9">
        <v>36.0</v>
      </c>
      <c r="I25" s="44">
        <v>0.0</v>
      </c>
      <c r="J25" s="24">
        <v>1775.0</v>
      </c>
    </row>
    <row r="26">
      <c r="A26" s="5" t="s">
        <v>41</v>
      </c>
      <c r="B26" s="7" t="s">
        <v>33</v>
      </c>
      <c r="C26" s="9" t="s">
        <v>223</v>
      </c>
      <c r="D26" s="11" t="s">
        <v>224</v>
      </c>
      <c r="E26" s="13" t="s">
        <v>39</v>
      </c>
      <c r="F26" s="13" t="s">
        <v>44</v>
      </c>
      <c r="G26" s="13" t="s">
        <v>55</v>
      </c>
      <c r="H26" s="9">
        <v>60.0</v>
      </c>
      <c r="I26" s="16">
        <v>6000.0</v>
      </c>
      <c r="J26" s="24">
        <v>480.0</v>
      </c>
    </row>
    <row r="27">
      <c r="A27" s="5" t="s">
        <v>229</v>
      </c>
      <c r="B27" s="7" t="s">
        <v>33</v>
      </c>
      <c r="C27" s="9" t="s">
        <v>230</v>
      </c>
      <c r="D27" s="11" t="s">
        <v>231</v>
      </c>
      <c r="E27" s="13" t="s">
        <v>39</v>
      </c>
      <c r="F27" s="13" t="s">
        <v>53</v>
      </c>
      <c r="G27" s="13" t="s">
        <v>55</v>
      </c>
      <c r="H27" s="9">
        <v>12.0</v>
      </c>
      <c r="I27" s="44">
        <v>0.0</v>
      </c>
      <c r="J27" s="17">
        <v>0.0</v>
      </c>
    </row>
    <row r="28">
      <c r="A28" s="5" t="s">
        <v>27</v>
      </c>
      <c r="B28" s="7" t="s">
        <v>33</v>
      </c>
      <c r="C28" s="9" t="s">
        <v>236</v>
      </c>
      <c r="D28" s="11" t="s">
        <v>237</v>
      </c>
      <c r="E28" s="13" t="s">
        <v>39</v>
      </c>
      <c r="F28" s="13" t="s">
        <v>117</v>
      </c>
      <c r="G28" s="13" t="s">
        <v>45</v>
      </c>
      <c r="H28" s="9">
        <v>60.0</v>
      </c>
      <c r="I28" s="16">
        <v>10000.0</v>
      </c>
      <c r="J28" s="24">
        <v>1915.0</v>
      </c>
    </row>
    <row r="29">
      <c r="A29" s="5" t="s">
        <v>41</v>
      </c>
      <c r="B29" s="7" t="s">
        <v>33</v>
      </c>
      <c r="C29" s="9" t="s">
        <v>242</v>
      </c>
      <c r="D29" s="11" t="s">
        <v>243</v>
      </c>
      <c r="E29" s="13" t="s">
        <v>39</v>
      </c>
      <c r="F29" s="13" t="s">
        <v>44</v>
      </c>
      <c r="G29" s="13" t="s">
        <v>55</v>
      </c>
      <c r="H29" s="9">
        <v>60.0</v>
      </c>
      <c r="I29" s="16">
        <v>500.0</v>
      </c>
      <c r="J29" s="24">
        <v>570.0</v>
      </c>
    </row>
    <row r="30">
      <c r="A30" s="5" t="s">
        <v>41</v>
      </c>
      <c r="B30" s="7" t="s">
        <v>33</v>
      </c>
      <c r="C30" s="9" t="s">
        <v>248</v>
      </c>
      <c r="D30" s="11" t="s">
        <v>249</v>
      </c>
      <c r="E30" s="13" t="s">
        <v>39</v>
      </c>
      <c r="F30" s="13" t="s">
        <v>44</v>
      </c>
      <c r="G30" s="13" t="s">
        <v>55</v>
      </c>
      <c r="H30" s="9">
        <v>60.0</v>
      </c>
      <c r="I30" s="16">
        <v>1000.0</v>
      </c>
      <c r="J30" s="24">
        <v>490.0</v>
      </c>
    </row>
    <row r="31">
      <c r="A31" s="5" t="s">
        <v>41</v>
      </c>
      <c r="B31" s="7" t="s">
        <v>33</v>
      </c>
      <c r="C31" s="9" t="s">
        <v>252</v>
      </c>
      <c r="D31" s="11" t="s">
        <v>253</v>
      </c>
      <c r="E31" s="13" t="s">
        <v>39</v>
      </c>
      <c r="F31" s="13" t="s">
        <v>44</v>
      </c>
      <c r="G31" s="13" t="s">
        <v>55</v>
      </c>
      <c r="H31" s="9">
        <v>12.0</v>
      </c>
      <c r="I31" s="16">
        <v>0.0</v>
      </c>
      <c r="J31" s="24">
        <v>669.7</v>
      </c>
    </row>
    <row r="32">
      <c r="A32" s="5" t="s">
        <v>257</v>
      </c>
      <c r="B32" s="7" t="s">
        <v>33</v>
      </c>
      <c r="C32" s="9" t="s">
        <v>259</v>
      </c>
      <c r="D32" s="11" t="s">
        <v>260</v>
      </c>
      <c r="E32" s="13" t="s">
        <v>39</v>
      </c>
      <c r="F32" s="13" t="s">
        <v>117</v>
      </c>
      <c r="G32" s="13" t="s">
        <v>55</v>
      </c>
      <c r="H32" s="9">
        <v>12.0</v>
      </c>
      <c r="I32" s="16">
        <v>1250.0</v>
      </c>
      <c r="J32" s="24">
        <v>704.0</v>
      </c>
    </row>
    <row r="33">
      <c r="A33" s="5" t="s">
        <v>27</v>
      </c>
      <c r="B33" s="7" t="s">
        <v>33</v>
      </c>
      <c r="C33" s="9" t="s">
        <v>263</v>
      </c>
      <c r="D33" s="11" t="s">
        <v>265</v>
      </c>
      <c r="E33" s="13" t="s">
        <v>39</v>
      </c>
      <c r="F33" s="13" t="s">
        <v>117</v>
      </c>
      <c r="G33" s="13" t="s">
        <v>55</v>
      </c>
      <c r="H33" s="9">
        <v>12.0</v>
      </c>
      <c r="I33" s="16">
        <f t="shared" ref="I33:I36" si="1">0.25* 5000</f>
        <v>1250</v>
      </c>
      <c r="J33" s="24">
        <f>0.25*1470</f>
        <v>367.5</v>
      </c>
    </row>
    <row r="34">
      <c r="A34" s="5" t="s">
        <v>69</v>
      </c>
      <c r="B34" s="7" t="s">
        <v>33</v>
      </c>
      <c r="C34" s="9" t="s">
        <v>273</v>
      </c>
      <c r="D34" s="11" t="s">
        <v>274</v>
      </c>
      <c r="E34" s="13" t="s">
        <v>39</v>
      </c>
      <c r="F34" s="13" t="s">
        <v>53</v>
      </c>
      <c r="G34" s="13" t="s">
        <v>55</v>
      </c>
      <c r="H34" s="9">
        <v>36.0</v>
      </c>
      <c r="I34" s="16">
        <f t="shared" si="1"/>
        <v>1250</v>
      </c>
      <c r="J34" s="24">
        <f>0.25*7219.6875</f>
        <v>1804.921875</v>
      </c>
    </row>
    <row r="35">
      <c r="A35" s="5" t="s">
        <v>257</v>
      </c>
      <c r="B35" s="7" t="s">
        <v>33</v>
      </c>
      <c r="C35" s="9" t="s">
        <v>279</v>
      </c>
      <c r="D35" s="11" t="s">
        <v>280</v>
      </c>
      <c r="E35" s="13" t="s">
        <v>39</v>
      </c>
      <c r="F35" s="13" t="s">
        <v>117</v>
      </c>
      <c r="G35" s="13" t="s">
        <v>55</v>
      </c>
      <c r="H35" s="9">
        <v>12.0</v>
      </c>
      <c r="I35" s="16">
        <f t="shared" si="1"/>
        <v>1250</v>
      </c>
      <c r="J35" s="24">
        <f>0.25*2956.8</f>
        <v>739.2</v>
      </c>
    </row>
    <row r="36">
      <c r="A36" s="5" t="s">
        <v>285</v>
      </c>
      <c r="B36" s="7" t="s">
        <v>33</v>
      </c>
      <c r="C36" s="9" t="s">
        <v>287</v>
      </c>
      <c r="D36" s="11" t="s">
        <v>288</v>
      </c>
      <c r="E36" s="13" t="s">
        <v>39</v>
      </c>
      <c r="F36" s="13" t="s">
        <v>117</v>
      </c>
      <c r="G36" s="13" t="s">
        <v>55</v>
      </c>
      <c r="H36" s="9">
        <v>12.0</v>
      </c>
      <c r="I36" s="16">
        <f t="shared" si="1"/>
        <v>1250</v>
      </c>
      <c r="J36" s="24">
        <f>0.25*2080</f>
        <v>520</v>
      </c>
    </row>
    <row r="37">
      <c r="A37" s="5" t="s">
        <v>41</v>
      </c>
      <c r="B37" s="7" t="s">
        <v>33</v>
      </c>
      <c r="C37" s="9" t="s">
        <v>293</v>
      </c>
      <c r="D37" s="11" t="s">
        <v>115</v>
      </c>
      <c r="E37" s="13" t="s">
        <v>39</v>
      </c>
      <c r="F37" s="13" t="s">
        <v>44</v>
      </c>
      <c r="G37" s="13" t="s">
        <v>55</v>
      </c>
      <c r="H37" s="9">
        <v>60.0</v>
      </c>
      <c r="I37" s="16">
        <f>0.25*1000</f>
        <v>250</v>
      </c>
      <c r="J37" s="24">
        <f>0.25*(900+1285)</f>
        <v>546.25</v>
      </c>
    </row>
    <row r="38">
      <c r="A38" s="5" t="s">
        <v>285</v>
      </c>
      <c r="B38" s="7" t="s">
        <v>33</v>
      </c>
      <c r="C38" s="9" t="s">
        <v>301</v>
      </c>
      <c r="D38" s="11" t="s">
        <v>302</v>
      </c>
      <c r="E38" s="13" t="s">
        <v>39</v>
      </c>
      <c r="F38" s="13" t="s">
        <v>117</v>
      </c>
      <c r="G38" s="13" t="s">
        <v>55</v>
      </c>
      <c r="H38" s="9">
        <v>12.0</v>
      </c>
      <c r="I38" s="16">
        <f>0.25* 5000</f>
        <v>1250</v>
      </c>
      <c r="J38" s="24">
        <f>0.25*6450</f>
        <v>1612.5</v>
      </c>
    </row>
    <row r="39">
      <c r="A39" s="5" t="s">
        <v>41</v>
      </c>
      <c r="B39" s="7" t="s">
        <v>33</v>
      </c>
      <c r="C39" s="52" t="s">
        <v>311</v>
      </c>
      <c r="D39" s="54" t="s">
        <v>312</v>
      </c>
      <c r="E39" s="13" t="s">
        <v>39</v>
      </c>
      <c r="F39" s="13" t="s">
        <v>117</v>
      </c>
      <c r="G39" s="13" t="s">
        <v>55</v>
      </c>
      <c r="H39" s="52">
        <v>60.0</v>
      </c>
      <c r="I39" s="16">
        <v>1000.0</v>
      </c>
      <c r="J39" s="24">
        <f>970+1445</f>
        <v>2415</v>
      </c>
    </row>
    <row r="40">
      <c r="A40" s="5" t="s">
        <v>321</v>
      </c>
      <c r="B40" s="7" t="s">
        <v>33</v>
      </c>
      <c r="C40" s="9" t="s">
        <v>322</v>
      </c>
      <c r="D40" s="11" t="s">
        <v>323</v>
      </c>
      <c r="E40" s="13" t="s">
        <v>39</v>
      </c>
      <c r="F40" s="13" t="s">
        <v>53</v>
      </c>
      <c r="G40" s="13" t="s">
        <v>55</v>
      </c>
      <c r="H40" s="9">
        <v>1.0</v>
      </c>
      <c r="I40" s="16">
        <f> 389508 
+84075.6 
+75247.2 
+69896.4 </f>
        <v>618727.2</v>
      </c>
      <c r="J40" s="17">
        <v>0.0</v>
      </c>
    </row>
    <row r="41">
      <c r="A41" s="5" t="s">
        <v>41</v>
      </c>
      <c r="B41" s="7" t="s">
        <v>33</v>
      </c>
      <c r="C41" s="9" t="s">
        <v>329</v>
      </c>
      <c r="D41" s="11" t="s">
        <v>330</v>
      </c>
      <c r="E41" s="13" t="s">
        <v>39</v>
      </c>
      <c r="F41" s="13" t="s">
        <v>117</v>
      </c>
      <c r="G41" s="13" t="s">
        <v>55</v>
      </c>
      <c r="H41" s="9">
        <v>60.0</v>
      </c>
      <c r="I41" s="16">
        <f>7000+2500</f>
        <v>9500</v>
      </c>
      <c r="J41" s="24">
        <v>240.0</v>
      </c>
    </row>
    <row r="42">
      <c r="A42" s="5" t="s">
        <v>41</v>
      </c>
      <c r="B42" s="7" t="s">
        <v>335</v>
      </c>
      <c r="C42" s="9" t="s">
        <v>336</v>
      </c>
      <c r="D42" s="11" t="s">
        <v>337</v>
      </c>
      <c r="E42" s="13" t="s">
        <v>39</v>
      </c>
      <c r="F42" s="13" t="s">
        <v>44</v>
      </c>
      <c r="G42" s="13" t="s">
        <v>55</v>
      </c>
      <c r="H42" s="9">
        <v>1.0</v>
      </c>
      <c r="I42" s="16">
        <v>4500.0</v>
      </c>
      <c r="J42" s="24"/>
    </row>
    <row r="43">
      <c r="A43" s="5" t="s">
        <v>41</v>
      </c>
      <c r="B43" s="7" t="s">
        <v>33</v>
      </c>
      <c r="C43" s="9" t="s">
        <v>223</v>
      </c>
      <c r="D43" s="11" t="s">
        <v>224</v>
      </c>
      <c r="E43" s="13" t="s">
        <v>39</v>
      </c>
      <c r="F43" s="13" t="s">
        <v>44</v>
      </c>
      <c r="G43" s="13" t="s">
        <v>55</v>
      </c>
      <c r="H43" s="9">
        <v>60.0</v>
      </c>
      <c r="I43" s="16">
        <v>0.0</v>
      </c>
      <c r="J43" s="24">
        <f>600+950</f>
        <v>1550</v>
      </c>
    </row>
    <row r="44">
      <c r="A44" s="5" t="s">
        <v>69</v>
      </c>
      <c r="B44" s="7" t="s">
        <v>33</v>
      </c>
      <c r="C44" s="9" t="s">
        <v>344</v>
      </c>
      <c r="D44" s="11" t="s">
        <v>345</v>
      </c>
      <c r="E44" s="13" t="s">
        <v>39</v>
      </c>
      <c r="F44" s="13" t="s">
        <v>44</v>
      </c>
      <c r="G44" s="13" t="s">
        <v>55</v>
      </c>
      <c r="H44" s="9">
        <v>12.0</v>
      </c>
      <c r="I44" s="16">
        <v>0.0</v>
      </c>
      <c r="J44" s="24">
        <v>7000.0</v>
      </c>
    </row>
    <row r="45">
      <c r="A45" s="5" t="s">
        <v>41</v>
      </c>
      <c r="B45" s="7" t="s">
        <v>33</v>
      </c>
      <c r="C45" s="9" t="s">
        <v>346</v>
      </c>
      <c r="D45" s="11" t="s">
        <v>347</v>
      </c>
      <c r="E45" s="13" t="s">
        <v>39</v>
      </c>
      <c r="F45" s="13" t="s">
        <v>44</v>
      </c>
      <c r="G45" s="13" t="s">
        <v>55</v>
      </c>
      <c r="H45" s="9">
        <v>60.0</v>
      </c>
      <c r="I45" s="16">
        <v>300000.0</v>
      </c>
      <c r="J45" s="24">
        <v>3000.0</v>
      </c>
    </row>
    <row r="46">
      <c r="A46" s="5" t="s">
        <v>69</v>
      </c>
      <c r="B46" s="7" t="s">
        <v>33</v>
      </c>
      <c r="C46" s="9" t="s">
        <v>348</v>
      </c>
      <c r="D46" s="11" t="s">
        <v>349</v>
      </c>
      <c r="E46" s="13" t="s">
        <v>39</v>
      </c>
      <c r="F46" s="13" t="s">
        <v>117</v>
      </c>
      <c r="G46" s="13" t="s">
        <v>55</v>
      </c>
      <c r="H46" s="9">
        <v>36.0</v>
      </c>
      <c r="I46" s="16">
        <f>0.25*6000</f>
        <v>1500</v>
      </c>
      <c r="J46" s="24">
        <f>0.25*2662.4</f>
        <v>665.6</v>
      </c>
    </row>
    <row r="47">
      <c r="A47" s="5" t="s">
        <v>27</v>
      </c>
      <c r="B47" s="7" t="s">
        <v>33</v>
      </c>
      <c r="C47" s="9" t="s">
        <v>36</v>
      </c>
      <c r="D47" s="11" t="s">
        <v>350</v>
      </c>
      <c r="E47" s="13" t="s">
        <v>39</v>
      </c>
      <c r="F47" s="13" t="s">
        <v>117</v>
      </c>
      <c r="G47" s="13" t="s">
        <v>55</v>
      </c>
      <c r="H47" s="9">
        <v>12.0</v>
      </c>
      <c r="I47" s="16">
        <v>0.0</v>
      </c>
      <c r="J47" s="24">
        <f>1100</f>
        <v>1100</v>
      </c>
    </row>
    <row r="48">
      <c r="A48" s="5" t="s">
        <v>27</v>
      </c>
      <c r="B48" s="7" t="s">
        <v>33</v>
      </c>
      <c r="C48" s="9" t="s">
        <v>351</v>
      </c>
      <c r="D48" s="11" t="s">
        <v>352</v>
      </c>
      <c r="E48" s="13" t="s">
        <v>39</v>
      </c>
      <c r="F48" s="13" t="s">
        <v>117</v>
      </c>
      <c r="G48" s="13" t="s">
        <v>55</v>
      </c>
      <c r="H48" s="9">
        <v>12.0</v>
      </c>
      <c r="I48" s="16">
        <v>1000.0</v>
      </c>
      <c r="J48" s="24">
        <v>1000.0</v>
      </c>
    </row>
    <row r="49">
      <c r="A49" s="5" t="s">
        <v>355</v>
      </c>
      <c r="B49" s="7" t="s">
        <v>33</v>
      </c>
      <c r="C49" s="9" t="s">
        <v>357</v>
      </c>
      <c r="D49" s="11" t="s">
        <v>358</v>
      </c>
      <c r="E49" s="13" t="s">
        <v>39</v>
      </c>
      <c r="F49" s="13" t="s">
        <v>53</v>
      </c>
      <c r="G49" s="13" t="s">
        <v>55</v>
      </c>
      <c r="H49" s="9">
        <v>12.0</v>
      </c>
      <c r="I49" s="16">
        <v>1500.0</v>
      </c>
      <c r="J49" s="24">
        <v>2988.0</v>
      </c>
    </row>
    <row r="50">
      <c r="A50" s="5" t="s">
        <v>257</v>
      </c>
      <c r="B50" s="7" t="s">
        <v>33</v>
      </c>
      <c r="C50" s="9" t="s">
        <v>360</v>
      </c>
      <c r="D50" s="11" t="s">
        <v>361</v>
      </c>
      <c r="E50" s="13" t="s">
        <v>39</v>
      </c>
      <c r="F50" s="13" t="s">
        <v>44</v>
      </c>
      <c r="G50" s="13" t="s">
        <v>55</v>
      </c>
      <c r="H50" s="9">
        <v>12.0</v>
      </c>
      <c r="I50" s="16">
        <f>0.25*2000</f>
        <v>500</v>
      </c>
      <c r="J50" s="24">
        <f>0.25*5100</f>
        <v>1275</v>
      </c>
    </row>
    <row r="51">
      <c r="A51" s="5" t="s">
        <v>69</v>
      </c>
      <c r="B51" s="7" t="s">
        <v>33</v>
      </c>
      <c r="C51" s="56" t="s">
        <v>368</v>
      </c>
      <c r="D51" s="57" t="s">
        <v>371</v>
      </c>
      <c r="E51" s="13" t="s">
        <v>39</v>
      </c>
      <c r="F51" s="13" t="s">
        <v>117</v>
      </c>
      <c r="G51" s="13" t="s">
        <v>55</v>
      </c>
      <c r="H51" s="56">
        <v>12.0</v>
      </c>
      <c r="I51" s="58">
        <f>0.25*6000</f>
        <v>1500</v>
      </c>
      <c r="J51" s="59">
        <f>0.25*8966</f>
        <v>2241.5</v>
      </c>
    </row>
    <row r="52">
      <c r="A52" s="5" t="s">
        <v>321</v>
      </c>
      <c r="B52" s="7" t="s">
        <v>33</v>
      </c>
      <c r="C52" s="56" t="s">
        <v>377</v>
      </c>
      <c r="D52" s="57" t="s">
        <v>378</v>
      </c>
      <c r="E52" s="13" t="s">
        <v>39</v>
      </c>
      <c r="F52" s="13" t="s">
        <v>117</v>
      </c>
      <c r="G52" s="13" t="s">
        <v>45</v>
      </c>
      <c r="H52" s="56">
        <v>12.0</v>
      </c>
      <c r="I52" s="58">
        <v>0.0</v>
      </c>
      <c r="J52" s="59">
        <v>1790.0</v>
      </c>
    </row>
    <row r="53">
      <c r="A53" s="5" t="s">
        <v>209</v>
      </c>
      <c r="B53" s="7" t="s">
        <v>33</v>
      </c>
      <c r="C53" s="56" t="s">
        <v>383</v>
      </c>
      <c r="D53" s="57" t="s">
        <v>384</v>
      </c>
      <c r="E53" s="13" t="s">
        <v>39</v>
      </c>
      <c r="F53" s="13" t="s">
        <v>117</v>
      </c>
      <c r="G53" s="13" t="s">
        <v>55</v>
      </c>
      <c r="H53" s="56">
        <v>36.0</v>
      </c>
      <c r="I53" s="60">
        <v>0.0</v>
      </c>
      <c r="J53" s="59">
        <v>640.0</v>
      </c>
    </row>
    <row r="54">
      <c r="A54" s="5" t="s">
        <v>41</v>
      </c>
      <c r="B54" s="7" t="s">
        <v>33</v>
      </c>
      <c r="C54" s="56" t="s">
        <v>389</v>
      </c>
      <c r="D54" s="57" t="s">
        <v>390</v>
      </c>
      <c r="E54" s="13" t="s">
        <v>39</v>
      </c>
      <c r="F54" s="13" t="s">
        <v>44</v>
      </c>
      <c r="G54" s="13" t="s">
        <v>55</v>
      </c>
      <c r="H54" s="56">
        <v>48.0</v>
      </c>
      <c r="I54" s="58">
        <v>4000.0</v>
      </c>
      <c r="J54" s="59">
        <v>160.0</v>
      </c>
    </row>
    <row r="55">
      <c r="A55" s="5" t="s">
        <v>27</v>
      </c>
      <c r="B55" s="7" t="s">
        <v>33</v>
      </c>
      <c r="C55" s="56" t="s">
        <v>391</v>
      </c>
      <c r="D55" s="57" t="s">
        <v>392</v>
      </c>
      <c r="E55" s="13" t="s">
        <v>39</v>
      </c>
      <c r="F55" s="13" t="s">
        <v>117</v>
      </c>
      <c r="G55" s="13" t="s">
        <v>55</v>
      </c>
      <c r="H55" s="56">
        <v>36.0</v>
      </c>
      <c r="I55" s="58">
        <v>500.0</v>
      </c>
      <c r="J55" s="59">
        <v>780.0</v>
      </c>
    </row>
    <row r="56">
      <c r="A56" s="5" t="s">
        <v>321</v>
      </c>
      <c r="B56" s="7" t="s">
        <v>33</v>
      </c>
      <c r="C56" s="56" t="s">
        <v>393</v>
      </c>
      <c r="D56" s="57" t="s">
        <v>395</v>
      </c>
      <c r="E56" s="13" t="s">
        <v>39</v>
      </c>
      <c r="F56" s="13" t="s">
        <v>117</v>
      </c>
      <c r="G56" s="13" t="s">
        <v>55</v>
      </c>
      <c r="H56" s="56">
        <v>36.0</v>
      </c>
      <c r="I56" s="58"/>
      <c r="J56" s="59"/>
    </row>
    <row r="57">
      <c r="A57" s="5" t="s">
        <v>257</v>
      </c>
      <c r="B57" s="7" t="s">
        <v>33</v>
      </c>
      <c r="C57" s="56" t="s">
        <v>399</v>
      </c>
      <c r="D57" s="57" t="s">
        <v>400</v>
      </c>
      <c r="E57" s="13" t="s">
        <v>39</v>
      </c>
      <c r="F57" s="13" t="s">
        <v>117</v>
      </c>
      <c r="G57" s="13" t="s">
        <v>55</v>
      </c>
      <c r="H57" s="56">
        <v>12.0</v>
      </c>
      <c r="I57" s="58"/>
      <c r="J57" s="59"/>
    </row>
    <row r="58">
      <c r="A58" s="5" t="s">
        <v>27</v>
      </c>
      <c r="B58" s="7" t="s">
        <v>33</v>
      </c>
      <c r="C58" s="56" t="s">
        <v>202</v>
      </c>
      <c r="D58" s="57" t="s">
        <v>405</v>
      </c>
      <c r="E58" s="13" t="s">
        <v>39</v>
      </c>
      <c r="F58" s="13" t="s">
        <v>117</v>
      </c>
      <c r="G58" s="13" t="s">
        <v>45</v>
      </c>
      <c r="H58" s="56">
        <v>24.0</v>
      </c>
      <c r="I58" s="58">
        <v>0.0</v>
      </c>
      <c r="J58" s="59">
        <v>1750.0</v>
      </c>
    </row>
    <row r="59">
      <c r="A59" s="5" t="s">
        <v>27</v>
      </c>
      <c r="B59" s="7" t="s">
        <v>33</v>
      </c>
      <c r="C59" s="9" t="s">
        <v>406</v>
      </c>
      <c r="D59" s="11" t="s">
        <v>407</v>
      </c>
      <c r="E59" s="13" t="s">
        <v>39</v>
      </c>
      <c r="F59" s="13" t="s">
        <v>117</v>
      </c>
      <c r="G59" s="13" t="s">
        <v>55</v>
      </c>
      <c r="H59" s="9">
        <v>36.0</v>
      </c>
      <c r="I59" s="16">
        <v>0.0</v>
      </c>
      <c r="J59" s="24">
        <v>3760.0</v>
      </c>
    </row>
    <row r="60">
      <c r="A60" s="5" t="s">
        <v>257</v>
      </c>
      <c r="B60" s="7" t="s">
        <v>33</v>
      </c>
      <c r="C60" s="9" t="s">
        <v>410</v>
      </c>
      <c r="D60" s="11" t="s">
        <v>411</v>
      </c>
      <c r="E60" s="13" t="s">
        <v>39</v>
      </c>
      <c r="F60" s="13" t="s">
        <v>117</v>
      </c>
      <c r="G60" s="13" t="s">
        <v>55</v>
      </c>
      <c r="H60" s="9">
        <v>36.0</v>
      </c>
      <c r="I60" s="16">
        <v>2000.0</v>
      </c>
      <c r="J60" s="24">
        <v>3240.0</v>
      </c>
    </row>
    <row r="61">
      <c r="A61" s="5" t="s">
        <v>414</v>
      </c>
      <c r="B61" s="7" t="s">
        <v>33</v>
      </c>
      <c r="C61" s="9" t="s">
        <v>415</v>
      </c>
      <c r="D61" s="11" t="s">
        <v>416</v>
      </c>
      <c r="E61" s="13" t="s">
        <v>39</v>
      </c>
      <c r="F61" s="13" t="s">
        <v>117</v>
      </c>
      <c r="G61" s="13" t="s">
        <v>55</v>
      </c>
      <c r="H61" s="9">
        <v>12.0</v>
      </c>
      <c r="I61" s="16">
        <v>0.0</v>
      </c>
      <c r="J61" s="24">
        <v>3000.0</v>
      </c>
    </row>
    <row r="62">
      <c r="A62" s="5" t="s">
        <v>27</v>
      </c>
      <c r="B62" s="7" t="s">
        <v>33</v>
      </c>
      <c r="C62" s="9" t="s">
        <v>419</v>
      </c>
      <c r="D62" s="11" t="s">
        <v>420</v>
      </c>
      <c r="E62" s="13" t="s">
        <v>39</v>
      </c>
      <c r="F62" s="13" t="s">
        <v>117</v>
      </c>
      <c r="G62" s="13" t="s">
        <v>55</v>
      </c>
      <c r="H62" s="9">
        <v>36.0</v>
      </c>
      <c r="I62" s="16">
        <v>0.0</v>
      </c>
      <c r="J62" s="24">
        <v>848.0</v>
      </c>
    </row>
    <row r="63">
      <c r="A63" s="5" t="s">
        <v>27</v>
      </c>
      <c r="B63" s="7" t="s">
        <v>33</v>
      </c>
      <c r="C63" s="9" t="s">
        <v>423</v>
      </c>
      <c r="D63" s="11" t="s">
        <v>424</v>
      </c>
      <c r="E63" s="13" t="s">
        <v>39</v>
      </c>
      <c r="F63" s="13" t="s">
        <v>117</v>
      </c>
      <c r="G63" s="13" t="s">
        <v>55</v>
      </c>
      <c r="H63" s="9">
        <v>12.0</v>
      </c>
      <c r="I63" s="16">
        <v>300.0</v>
      </c>
      <c r="J63" s="24">
        <v>1000.0</v>
      </c>
    </row>
    <row r="64">
      <c r="A64" s="5" t="s">
        <v>355</v>
      </c>
      <c r="B64" s="7" t="s">
        <v>33</v>
      </c>
      <c r="C64" s="9" t="s">
        <v>427</v>
      </c>
      <c r="D64" s="11" t="s">
        <v>428</v>
      </c>
      <c r="E64" s="13" t="s">
        <v>39</v>
      </c>
      <c r="F64" s="13" t="s">
        <v>117</v>
      </c>
      <c r="G64" s="13" t="s">
        <v>55</v>
      </c>
      <c r="H64" s="9">
        <v>12.0</v>
      </c>
      <c r="I64" s="16">
        <v>1500.0</v>
      </c>
      <c r="J64" s="24">
        <v>865.0</v>
      </c>
    </row>
    <row r="65">
      <c r="A65" s="5" t="s">
        <v>209</v>
      </c>
      <c r="B65" s="7" t="s">
        <v>33</v>
      </c>
      <c r="C65" s="9" t="s">
        <v>431</v>
      </c>
      <c r="D65" s="11" t="s">
        <v>432</v>
      </c>
      <c r="E65" s="13" t="s">
        <v>39</v>
      </c>
      <c r="F65" s="13" t="s">
        <v>117</v>
      </c>
      <c r="G65" s="13" t="s">
        <v>55</v>
      </c>
      <c r="H65" s="9">
        <v>12.0</v>
      </c>
      <c r="I65" s="16">
        <v>5000.0</v>
      </c>
      <c r="J65" s="24">
        <v>1150.0</v>
      </c>
    </row>
    <row r="66">
      <c r="A66" s="5" t="s">
        <v>355</v>
      </c>
      <c r="B66" s="7" t="s">
        <v>33</v>
      </c>
      <c r="C66" s="9" t="s">
        <v>433</v>
      </c>
      <c r="D66" s="11" t="s">
        <v>434</v>
      </c>
      <c r="E66" s="13" t="s">
        <v>39</v>
      </c>
      <c r="F66" s="13" t="s">
        <v>117</v>
      </c>
      <c r="G66" s="13" t="s">
        <v>55</v>
      </c>
      <c r="H66" s="9">
        <v>12.0</v>
      </c>
      <c r="I66" s="16">
        <v>6000.0</v>
      </c>
      <c r="J66" s="24">
        <v>6582.4</v>
      </c>
    </row>
    <row r="67">
      <c r="A67" s="5" t="s">
        <v>41</v>
      </c>
      <c r="B67" s="7" t="s">
        <v>437</v>
      </c>
      <c r="C67" s="9" t="s">
        <v>113</v>
      </c>
      <c r="D67" s="11" t="s">
        <v>439</v>
      </c>
      <c r="E67" s="13" t="s">
        <v>441</v>
      </c>
      <c r="F67" s="13" t="s">
        <v>117</v>
      </c>
      <c r="G67" s="13" t="s">
        <v>55</v>
      </c>
      <c r="H67" s="9">
        <v>60.0</v>
      </c>
      <c r="I67" s="44">
        <v>0.0</v>
      </c>
      <c r="J67" s="17">
        <v>0.0</v>
      </c>
    </row>
    <row r="68">
      <c r="A68" s="5" t="s">
        <v>41</v>
      </c>
      <c r="B68" s="7" t="s">
        <v>46</v>
      </c>
      <c r="C68" s="9" t="s">
        <v>442</v>
      </c>
      <c r="D68" s="11" t="s">
        <v>443</v>
      </c>
      <c r="E68" s="13" t="s">
        <v>39</v>
      </c>
      <c r="F68" s="13" t="s">
        <v>44</v>
      </c>
      <c r="G68" s="13" t="s">
        <v>55</v>
      </c>
      <c r="H68" s="9">
        <v>60.0</v>
      </c>
      <c r="I68" s="16">
        <v>3000.0</v>
      </c>
      <c r="J68" s="24">
        <v>60.0</v>
      </c>
    </row>
    <row r="69">
      <c r="A69" s="5" t="s">
        <v>41</v>
      </c>
      <c r="B69" s="7" t="s">
        <v>46</v>
      </c>
      <c r="C69" s="9" t="s">
        <v>442</v>
      </c>
      <c r="D69" s="11" t="s">
        <v>448</v>
      </c>
      <c r="E69" s="13" t="s">
        <v>39</v>
      </c>
      <c r="F69" s="13" t="s">
        <v>44</v>
      </c>
      <c r="G69" s="13" t="s">
        <v>55</v>
      </c>
      <c r="H69" s="9">
        <v>60.0</v>
      </c>
      <c r="I69" s="16">
        <v>13000.0</v>
      </c>
      <c r="J69" s="24">
        <f>195+60</f>
        <v>255</v>
      </c>
    </row>
    <row r="70">
      <c r="A70" s="5" t="s">
        <v>41</v>
      </c>
      <c r="B70" s="7" t="s">
        <v>46</v>
      </c>
      <c r="C70" s="9" t="s">
        <v>442</v>
      </c>
      <c r="D70" s="11" t="s">
        <v>453</v>
      </c>
      <c r="E70" s="13" t="s">
        <v>39</v>
      </c>
      <c r="F70" s="13" t="s">
        <v>44</v>
      </c>
      <c r="G70" s="13" t="s">
        <v>55</v>
      </c>
      <c r="H70" s="9">
        <v>60.0</v>
      </c>
      <c r="I70" s="16">
        <v>75000.0</v>
      </c>
      <c r="J70" s="24">
        <v>1000.0</v>
      </c>
    </row>
    <row r="71">
      <c r="A71" s="5" t="s">
        <v>69</v>
      </c>
      <c r="B71" s="7" t="s">
        <v>33</v>
      </c>
      <c r="C71" s="9" t="s">
        <v>455</v>
      </c>
      <c r="D71" s="11" t="s">
        <v>456</v>
      </c>
      <c r="E71" s="13" t="s">
        <v>457</v>
      </c>
      <c r="F71" s="13" t="s">
        <v>459</v>
      </c>
      <c r="G71" s="13" t="s">
        <v>55</v>
      </c>
      <c r="H71" s="9">
        <v>12.0</v>
      </c>
      <c r="I71" s="16">
        <v>0.0</v>
      </c>
      <c r="J71" s="24">
        <v>165.0</v>
      </c>
    </row>
    <row r="72">
      <c r="A72" s="5" t="s">
        <v>462</v>
      </c>
      <c r="B72" s="7" t="s">
        <v>463</v>
      </c>
      <c r="C72" s="9" t="s">
        <v>464</v>
      </c>
      <c r="D72" s="11" t="s">
        <v>465</v>
      </c>
      <c r="E72" s="13" t="s">
        <v>441</v>
      </c>
      <c r="F72" s="13" t="s">
        <v>117</v>
      </c>
      <c r="G72" s="13" t="s">
        <v>55</v>
      </c>
      <c r="H72" s="9">
        <v>1.0</v>
      </c>
      <c r="I72" s="16">
        <v>450.0</v>
      </c>
      <c r="J72" s="24"/>
    </row>
    <row r="73">
      <c r="A73" s="5" t="s">
        <v>41</v>
      </c>
      <c r="B73" s="7" t="s">
        <v>46</v>
      </c>
      <c r="C73" s="9" t="s">
        <v>466</v>
      </c>
      <c r="D73" s="11" t="s">
        <v>467</v>
      </c>
      <c r="E73" s="13" t="s">
        <v>39</v>
      </c>
      <c r="F73" s="13" t="s">
        <v>117</v>
      </c>
      <c r="G73" s="13" t="s">
        <v>55</v>
      </c>
      <c r="H73" s="9">
        <v>60.0</v>
      </c>
      <c r="I73" s="16">
        <v>8500.0</v>
      </c>
      <c r="J73" s="24">
        <v>160.0</v>
      </c>
    </row>
    <row r="74">
      <c r="A74" s="5" t="s">
        <v>41</v>
      </c>
      <c r="B74" s="7" t="s">
        <v>33</v>
      </c>
      <c r="C74" s="9" t="s">
        <v>223</v>
      </c>
      <c r="D74" s="11" t="s">
        <v>470</v>
      </c>
      <c r="E74" s="13" t="s">
        <v>441</v>
      </c>
      <c r="F74" s="13" t="s">
        <v>117</v>
      </c>
      <c r="G74" s="13" t="s">
        <v>55</v>
      </c>
      <c r="H74" s="9">
        <v>60.0</v>
      </c>
      <c r="I74" s="44">
        <v>0.0</v>
      </c>
      <c r="J74" s="17">
        <v>0.0</v>
      </c>
    </row>
  </sheetData>
  <dataValidations>
    <dataValidation type="list" allowBlank="1" showErrorMessage="1" sqref="B2:B74">
      <formula1>"Connectivity,Eaas,Engineering Services,Professional Services,Others,Managed Connectivity"</formula1>
    </dataValidation>
    <dataValidation type="list" allowBlank="1" showErrorMessage="1" sqref="F2:F74">
      <formula1>"Closed - WON,Closed - LOST,Sent,Open - In Progress,No bid"</formula1>
    </dataValidation>
    <dataValidation type="list" allowBlank="1" sqref="A2:A74">
      <formula1>"Bits and Byte Pt Ltd (India),CMC Telecom,Netnam,VNPT,PCCW Global HK,Telesol ,AirX Technolgies,Neeco,Ice Blue / Blue Planet,Epsilontel,Combridge,GINX,Smart CIC,Easterra,Tawasul,Neutrality One,Newtelco,Indigo,Bits and Byte (Spain),WOYN,China Unicom Europe,N"&amp;"eterra,PCCW,A1,SGS Telecom,ScloudX ,Viewqwest,SGGS,M1,Sprint,HGC,Telin US ,CTAP,Orange,Sparkle,Packethub,Global Connect Carrier,CommandConnect,Singtel,NTT MSC,AllianceLV,Advantage CG,Aryaka,GNX,GTT,Nexlinx,Connect2CloudX,Edgestone Singapore,Velo Technolog"&amp;"ies,Expereo,Orchest,T&amp;A Systeme,Commandlink,AireSpring,Nicos,C121 Mobile Limited,Telstra PBS,CMI France,CMI Middle East ,CMI Europe,CypressTel,Telin,GOIP,INFRA-SIX,Jastel,COCOA,DC CONNECT,CT US,CT EU,CT HQ,China Unicom,CBC TECH,Citadel Securities,11:11 Sy"&amp;"stem,VISION TELECOM,Equinix,Mintel,IPTP,Nova Global ICT (HK) Limited,Starcloud,China Telecom (Africa and Middle East) Limited,CMI Malaysia,Redder,E&amp;,PT Sitoy,Philbee Telecom,Cambridge,UNS,REDTONE,Exatel,Qoolize,Exponentia Global,Inte-QT,CT MY,Ling,GoMomen"&amp;"tum,HGC (HK),NTT Global,Tianchi,CMI - HK(HQ),HGC (ME),DYXnet,HKBRI,HGC (UK) - Onnet,HGC (UK) - Offnet,Symphony,Agilenaas,263,FPT Telecom,HGC (US),Space Hellas,British Telecom,OWS,TM HK,Globalgig,DayOne,CatIX,New Telco,Flexsys,DIALOG,Nour  Global,Globe Tel"&amp;" ,Kalaam,Ecotel,HKBN,CTG - Enterprise,Global Gateway,Zenlayer,JNI,CMI Singapore,Egypt Telecom,Conicloud,One Link,Fareastone,Deutsche Telekom,PLDT,Resolute CS,IPKnowledge B.V,SEAX,DFT Taiwan,HGC (TH),GAICHU,EMTEL,IG Networks,Netvia,Cloud Telecom,Ramboll,NO"&amp;"VACOM,ZFX,Top It Service Limited,Orient Telecom"</formula1>
    </dataValidation>
    <dataValidation type="list" allowBlank="1" showErrorMessage="1" sqref="G2:G74">
      <formula1>"New Request,Upgrade,Downgrade,Renewal,Relocation,URGENT"</formula1>
    </dataValidation>
    <dataValidation type="list" allowBlank="1" showErrorMessage="1" sqref="E2:E74">
      <formula1>"Open - Pending,Sent,Pending Customer Response,Partial,Closed,Partial Sent"</formula1>
    </dataValidation>
  </dataValidations>
  <drawing r:id="rId1"/>
</worksheet>
</file>